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P:\DATA_DDS_T&amp;S\MEKAOUCHE_OURABAH\"/>
    </mc:Choice>
  </mc:AlternateContent>
  <xr:revisionPtr revIDLastSave="0" documentId="13_ncr:1_{D85F2FD6-8BCD-4DD8-9BBB-C6731E7B6C4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uivi_PACKAGE" sheetId="1" r:id="rId1"/>
  </sheets>
  <definedNames>
    <definedName name="Segment_Destinataire1">#N/A</definedName>
    <definedName name="Segment_Réalisations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  <x14:slicerCache r:id="rId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04" i="1" l="1"/>
  <c r="G296" i="1"/>
  <c r="G260" i="1"/>
  <c r="G251" i="1"/>
  <c r="G172" i="1"/>
  <c r="G170" i="1"/>
  <c r="G163" i="1"/>
  <c r="G159" i="1"/>
  <c r="G156" i="1"/>
  <c r="G149" i="1"/>
  <c r="G145" i="1"/>
  <c r="G144" i="1"/>
  <c r="G141" i="1"/>
  <c r="G140" i="1"/>
  <c r="G103" i="1"/>
  <c r="G95" i="1"/>
  <c r="G80" i="1"/>
  <c r="G58" i="1"/>
  <c r="G50" i="1"/>
  <c r="G38" i="1"/>
  <c r="M24" i="1" l="1"/>
</calcChain>
</file>

<file path=xl/sharedStrings.xml><?xml version="1.0" encoding="utf-8"?>
<sst xmlns="http://schemas.openxmlformats.org/spreadsheetml/2006/main" count="2363" uniqueCount="917">
  <si>
    <t xml:space="preserve">Type de données </t>
  </si>
  <si>
    <t>source de données</t>
  </si>
  <si>
    <t>Capacité en Gb</t>
  </si>
  <si>
    <t>Merge_Amguid</t>
  </si>
  <si>
    <t>06-SAZ,97-TEG, 2004-MGD, 79TEG, 08-GOU, 75Ha, 82-GOU 78-TEG, 74-TEG, 97-Ha, 01-GOU, 70-TEG, 72-GOU, 73-Ha, 74-GOU, 74-Ha, 74-TEG, 75-eh, 75Ha, 76-Ha, 76-TEG, 77-Ha, 78-GOU, 78-MGD, 78-TEG, 79-Ha, 79-TEG, 77-Ha, 78-GOU, 78-MGD, 78-TEG, 79-Ha, 79-TEG, 80-TEG, 81-TEG, 82-GOU, 82-Ha, 83-GOU, 83-MGD, 84-MGD, 84-TEG, 86-TEG, 91-GOU, 92-GOU, 92-Gs, 92-TEG, 97-GOU, 97-ha, 97-TEG.</t>
  </si>
  <si>
    <t xml:space="preserve">Stack </t>
  </si>
  <si>
    <t>PED</t>
  </si>
  <si>
    <r>
      <t xml:space="preserve"> </t>
    </r>
    <r>
      <rPr>
        <sz val="12"/>
        <color rgb="FF000000"/>
        <rFont val="Calibri"/>
        <family val="2"/>
      </rPr>
      <t xml:space="preserve">BKSW-1 </t>
    </r>
  </si>
  <si>
    <t>VSP</t>
  </si>
  <si>
    <t>92-BBK-03,02</t>
  </si>
  <si>
    <t>stack</t>
  </si>
  <si>
    <t>BDD</t>
  </si>
  <si>
    <t>NILI-3D</t>
  </si>
  <si>
    <t xml:space="preserve">Gathers </t>
  </si>
  <si>
    <t>DES</t>
  </si>
  <si>
    <t>DAK1, ME-1, TEGE-1, ZRF-1, ZRFW-1, ECF-1, ECF-2, ECF-3, ECF-4</t>
  </si>
  <si>
    <t>BRHS-1, BK-2</t>
  </si>
  <si>
    <t xml:space="preserve">Rapport final </t>
  </si>
  <si>
    <t>ENI</t>
  </si>
  <si>
    <t>NJ-3D</t>
  </si>
  <si>
    <t xml:space="preserve">PSTM Gathers  </t>
  </si>
  <si>
    <t>09-GEG-3D</t>
  </si>
  <si>
    <t>MLEP-1</t>
  </si>
  <si>
    <t xml:space="preserve">Rapport MWD,fiche de puits </t>
  </si>
  <si>
    <t>2004-DHKT-3D,20011-RDH-3D</t>
  </si>
  <si>
    <t xml:space="preserve">PSTM, lib de vitesses +rapport de trait et d'acquisition </t>
  </si>
  <si>
    <t>2006-Tinrhert-sparse-3D</t>
  </si>
  <si>
    <t xml:space="preserve">PSTM, gathers </t>
  </si>
  <si>
    <t>Réalisations</t>
  </si>
  <si>
    <t xml:space="preserve">2007-HMD-Q-Land </t>
  </si>
  <si>
    <t>Angles stack</t>
  </si>
  <si>
    <t>MFC-1, RHSE-1, RHSE-2, EAD-1 et REHS-2.</t>
  </si>
  <si>
    <t xml:space="preserve">Données VSP </t>
  </si>
  <si>
    <t>2.,0</t>
  </si>
  <si>
    <t>2012-AA-2D,2004-SBA-2D</t>
  </si>
  <si>
    <t>OANS-3D</t>
  </si>
  <si>
    <t xml:space="preserve">Stack + gathers </t>
  </si>
  <si>
    <t>2015-S,74-S-2D</t>
  </si>
  <si>
    <t>SYDN-3D,2016TMS-3D,2014RFN-3D,2015RFS-3D</t>
  </si>
  <si>
    <t>Rapports d'acquisition et de traitement</t>
  </si>
  <si>
    <r>
      <t>1997 KHRECHBA,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2005 IRHAREN,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2005 MSARI-AKABLI,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2006 TEG-TEGUENTOUR,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TEG-1980, 1981,  1991, 1995, 2002, 2004, 2007, 2012,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MK-1982, 1984, 1989, 1990, 2002, 2005, 2011,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16HTJ,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19HTJ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Arial"/>
        <family val="2"/>
      </rPr>
      <t>GOU- 1997, 2008,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SAZ- 2006,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14GG,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00-TEG,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Arial"/>
        <family val="2"/>
      </rPr>
      <t>79-TEG</t>
    </r>
  </si>
  <si>
    <t>97-REG-3D,  09-GBF-3D</t>
  </si>
  <si>
    <t xml:space="preserve">Stack +rapports </t>
  </si>
  <si>
    <t>2011-Merge-3D,2014-THT-3D,2010-FHA-3D,2010-HOA-3D,2010-HOT-3D</t>
  </si>
  <si>
    <t>Association</t>
  </si>
  <si>
    <t>98,99-HRM,00-MGN,12-DAO,77-ON,78-HRM,82-MEG,93-MGN-2D</t>
  </si>
  <si>
    <t>Stack</t>
  </si>
  <si>
    <t>2020-FER,2004-MGD</t>
  </si>
  <si>
    <t>Rapports MO</t>
  </si>
  <si>
    <t>Puits du champ REH-Taouil et RHA, périmètre Gassi-Touil. (50puits)</t>
  </si>
  <si>
    <t>Diagraphies et VSP</t>
  </si>
  <si>
    <t xml:space="preserve"> Merge NZ/ZF/ONR-3D</t>
  </si>
  <si>
    <t>Processing report</t>
  </si>
  <si>
    <t>ASK_GUE-3D, TMTN-3D, TGN-3D</t>
  </si>
  <si>
    <t>RMO</t>
  </si>
  <si>
    <t>16-TST-3D</t>
  </si>
  <si>
    <t>Inversion report</t>
  </si>
  <si>
    <t>14-GG/09-GG, 15-MGD, 16-HTJ et 19-HTJ</t>
  </si>
  <si>
    <t>CVT</t>
  </si>
  <si>
    <t>PD/DMG</t>
  </si>
  <si>
    <t>HBAN-3D</t>
  </si>
  <si>
    <t>Terrain</t>
  </si>
  <si>
    <t>ENAGEO</t>
  </si>
  <si>
    <t>540 Go</t>
  </si>
  <si>
    <t>LTNE-3D</t>
  </si>
  <si>
    <t>14-RLZ-5W</t>
  </si>
  <si>
    <t>Stack, gather, vitesses, statiqures</t>
  </si>
  <si>
    <t>DP/DMG</t>
  </si>
  <si>
    <t>96-REB-3D</t>
  </si>
  <si>
    <t>Non archivé</t>
  </si>
  <si>
    <t>75-S-18, 76-S-24, 76-S-28, 76-S-46 et 74-S-02 Sud</t>
  </si>
  <si>
    <t>Data terrain</t>
  </si>
  <si>
    <t>DDS/DMG</t>
  </si>
  <si>
    <t>Originaux</t>
  </si>
  <si>
    <t>14-RLZ-2D</t>
  </si>
  <si>
    <t>Gather + Vitesses</t>
  </si>
  <si>
    <t>MAMI-3D</t>
  </si>
  <si>
    <t>ficihiers et volume vitesse</t>
  </si>
  <si>
    <t>EM-2D</t>
  </si>
  <si>
    <t>17-TIN-2D</t>
  </si>
  <si>
    <t>Data Terrain</t>
  </si>
  <si>
    <t>DDS/DDM</t>
  </si>
  <si>
    <t>originaux</t>
  </si>
  <si>
    <t>RNNE-2</t>
  </si>
  <si>
    <t>VSP et diagraphies</t>
  </si>
  <si>
    <t>BBD/DMG</t>
  </si>
  <si>
    <t>BRDN-3D</t>
  </si>
  <si>
    <t>Rapport de traitement</t>
  </si>
  <si>
    <t>BDD/BMG</t>
  </si>
  <si>
    <t>28 puits BRD</t>
  </si>
  <si>
    <t>Merge Toual-BRDN-3D</t>
  </si>
  <si>
    <t>Rapport de traitement et PSTM</t>
  </si>
  <si>
    <t>RHA_TOUS-3D</t>
  </si>
  <si>
    <t>Angle stack et vtesses</t>
  </si>
  <si>
    <t>03-OHN (1 à 8) et 78TST104, 78TST110, 78 TST 119</t>
  </si>
  <si>
    <t>Merge  ATKS-3D</t>
  </si>
  <si>
    <t>Gathers, PSTM et vitesses</t>
  </si>
  <si>
    <t>En cours de QC</t>
  </si>
  <si>
    <t>09-BRTS-3D</t>
  </si>
  <si>
    <t>Rapport d'acqusition</t>
  </si>
  <si>
    <t>DOE</t>
  </si>
  <si>
    <t>DDM</t>
  </si>
  <si>
    <t>Inexistant</t>
  </si>
  <si>
    <t>Processing Data</t>
  </si>
  <si>
    <t>08-ISR-3D et 08-ISR-2D</t>
  </si>
  <si>
    <t>gather, PSTM, angle stack, vitesses, processing report et angle stack</t>
  </si>
  <si>
    <t xml:space="preserve">Data inexistant </t>
  </si>
  <si>
    <t>E_HDZ-3D</t>
  </si>
  <si>
    <t xml:space="preserve">Rapport d'inversion </t>
  </si>
  <si>
    <t>BDD/DMG</t>
  </si>
  <si>
    <t>06-REK-2D; 09-HTG-2D; 06-GT-2D</t>
  </si>
  <si>
    <t>Survey Data</t>
  </si>
  <si>
    <t>ASE/B,O</t>
  </si>
  <si>
    <t>TIN-3D</t>
  </si>
  <si>
    <t>CVT data</t>
  </si>
  <si>
    <t>83-FDJ-2D</t>
  </si>
  <si>
    <t>Stack data</t>
  </si>
  <si>
    <t>13-ISA-3D</t>
  </si>
  <si>
    <t xml:space="preserve">Gather + vitesses </t>
  </si>
  <si>
    <t>15-ATL-05</t>
  </si>
  <si>
    <t>Gathers PSTM , Gather PSDM, PSTM stacket vitesses; statics, PSDM Stack</t>
  </si>
  <si>
    <t>19-MDR-06,09, 17, 19</t>
  </si>
  <si>
    <t>Gathers avec et sans NMO</t>
  </si>
  <si>
    <t>19-BEA-3D</t>
  </si>
  <si>
    <t>Stack + vitesses</t>
  </si>
  <si>
    <t>77-S-13 et 76-S-33</t>
  </si>
  <si>
    <t>12-AA-2D</t>
  </si>
  <si>
    <t xml:space="preserve">Vitesses et statics </t>
  </si>
  <si>
    <t>CD deffectueux</t>
  </si>
  <si>
    <t>Remarque</t>
  </si>
  <si>
    <t>BBK-3D</t>
  </si>
  <si>
    <t xml:space="preserve">Inversion + caracterisartion </t>
  </si>
  <si>
    <t>EDS</t>
  </si>
  <si>
    <t>EMZNE_KEA-3D</t>
  </si>
  <si>
    <t>Gather NMO</t>
  </si>
  <si>
    <t>13-ISA-3D+ 04-TFR-3D</t>
  </si>
  <si>
    <t>Données terrain</t>
  </si>
  <si>
    <t>org</t>
  </si>
  <si>
    <t xml:space="preserve">Remis data originale </t>
  </si>
  <si>
    <t>05-KH-17</t>
  </si>
  <si>
    <t xml:space="preserve">data originale </t>
  </si>
  <si>
    <t>Angle stack + Processing Report</t>
  </si>
  <si>
    <t>Remis rapport, angles stack inexistants</t>
  </si>
  <si>
    <t>08-BRH-3D</t>
  </si>
  <si>
    <t xml:space="preserve">Rapport de traitement </t>
  </si>
  <si>
    <t>BNW-3D</t>
  </si>
  <si>
    <t xml:space="preserve">stack, vitesses et rapports </t>
  </si>
  <si>
    <t>12-HA-2D et 12-BS-2D</t>
  </si>
  <si>
    <t xml:space="preserve">rapports de mise en œuvre </t>
  </si>
  <si>
    <t>Merge Berkine-3D</t>
  </si>
  <si>
    <t>pstm,  Angle stack, vitesse et raport</t>
  </si>
  <si>
    <t>QC/ DMG</t>
  </si>
  <si>
    <t>KAR-1,2, KARS-1,2+TIL-2, AKW-1; THLNO-1, TMTNO-1</t>
  </si>
  <si>
    <t>VSP + Diagraphies</t>
  </si>
  <si>
    <t>07-HBH-3D</t>
  </si>
  <si>
    <t>Gather</t>
  </si>
  <si>
    <t>AST/OXP</t>
  </si>
  <si>
    <t>Cropping data</t>
  </si>
  <si>
    <t>DDS/ DMG</t>
  </si>
  <si>
    <t>13-BG-3D</t>
  </si>
  <si>
    <t>Gathers</t>
  </si>
  <si>
    <t>19-BIR/ED-3D</t>
  </si>
  <si>
    <t xml:space="preserve">Vitesses </t>
  </si>
  <si>
    <t>Tinhert-3D</t>
  </si>
  <si>
    <t>Rapport de traitement et d'acquisition</t>
  </si>
  <si>
    <t>RFN, Merge Berkine + MLSE-EME</t>
  </si>
  <si>
    <t>Gathers, stack et vitesses</t>
  </si>
  <si>
    <t>Annulé</t>
  </si>
  <si>
    <t>HTJ-3D</t>
  </si>
  <si>
    <t>Stack + processing report</t>
  </si>
  <si>
    <t>11-MK-2D +16-MK-2D</t>
  </si>
  <si>
    <t>Rapports d'acqusdition et de traitement</t>
  </si>
  <si>
    <t>DAD_Nord-3D</t>
  </si>
  <si>
    <t xml:space="preserve">Cube vitesses </t>
  </si>
  <si>
    <t xml:space="preserve">16-ED-2D </t>
  </si>
  <si>
    <t>Vitesses</t>
  </si>
  <si>
    <t>10-KSH-3D</t>
  </si>
  <si>
    <t>PSTM, Angles Stack</t>
  </si>
  <si>
    <t>16-ANR-3D</t>
  </si>
  <si>
    <t>Cube de Vitesses + stack</t>
  </si>
  <si>
    <t>10-REH-3D; 12-RHA_TOUS, 09-HTG-,3, 8 et 3</t>
  </si>
  <si>
    <t>13-NJ-3D; 13-BG-3D</t>
  </si>
  <si>
    <t xml:space="preserve">Stack, vitesses , statiques e rapport  </t>
  </si>
  <si>
    <t>AB-1</t>
  </si>
  <si>
    <t xml:space="preserve">VSP, RFS et diagraphies </t>
  </si>
  <si>
    <t>17-TC-3D</t>
  </si>
  <si>
    <t>gathers, vitesses, PSTM, rapport</t>
  </si>
  <si>
    <t>TCN-1,1bis,2,2-st-1,TC-1,2,3 et TCO-1</t>
  </si>
  <si>
    <t>Rapport test, ELAN(PDF) et diagraphies</t>
  </si>
  <si>
    <t>18-OBF-3D</t>
  </si>
  <si>
    <t>Gather, angle stack et , PSTM, vitesses</t>
  </si>
  <si>
    <t>GNE-1,GRAE-1, TRS-1,GRA-1,2,3,4;  GRAS-1et 2</t>
  </si>
  <si>
    <t>Merge 19-NZF/ZF/ONR-3D</t>
  </si>
  <si>
    <t>Gather; Stack, vitesses</t>
  </si>
  <si>
    <t>Stack, vitesses et statics</t>
  </si>
  <si>
    <t>Orienté vers BDD</t>
  </si>
  <si>
    <t>HBH-1 to 21 + HBHN-1</t>
  </si>
  <si>
    <t>logs des diagraphies</t>
  </si>
  <si>
    <t>GEA-1, HAL-1,HA-1, ESA-1 et FEG-1</t>
  </si>
  <si>
    <t>Logs, rapports et VSP, fiches</t>
  </si>
  <si>
    <t>07-GS/75-EH/79-EH/86-GS-/92GS-2D et 07-HBH-3D</t>
  </si>
  <si>
    <t xml:space="preserve">Stack, gathers , vitesses, rapports </t>
  </si>
  <si>
    <t>RHNW-1 et 2</t>
  </si>
  <si>
    <t>RFS</t>
  </si>
  <si>
    <t>13-NJ-3D</t>
  </si>
  <si>
    <t>Processing report + statique</t>
  </si>
  <si>
    <t>19-FES-3D</t>
  </si>
  <si>
    <t>Gathers, , Angle stack, PSTM et vitesses, rapport</t>
  </si>
  <si>
    <t>22-MDR-56, 55,54,53,51,39,41,42,43,45,46,47 et 50</t>
  </si>
  <si>
    <t>Bandes et documents terrain</t>
  </si>
  <si>
    <t>Attente DP/DDM</t>
  </si>
  <si>
    <t>1860 profils sismiques 2D</t>
  </si>
  <si>
    <t>Stack, rapports de traitement et d'acquisition</t>
  </si>
  <si>
    <t>Demande  à adresser au  DXP</t>
  </si>
  <si>
    <t>12-DAO-2D</t>
  </si>
  <si>
    <r>
      <t>AH-1, AG-1, LFA-1, ZRA-1, GC-1, OTG-1, OTG-2, AEH-1, ODTH-1, DJD-1Bis</t>
    </r>
    <r>
      <rPr>
        <sz val="11"/>
        <color rgb="FF000000"/>
        <rFont val="Calibri"/>
        <family val="2"/>
      </rPr>
      <t>.</t>
    </r>
  </si>
  <si>
    <t>Logs, rapports,fiches,  VSP</t>
  </si>
  <si>
    <t>Attente PED</t>
  </si>
  <si>
    <t>BTA-3D</t>
  </si>
  <si>
    <t xml:space="preserve">PSTM, vitesses et gathers </t>
  </si>
  <si>
    <t>19-MDR-07, 08, 11, 17 et 20</t>
  </si>
  <si>
    <t>original</t>
  </si>
  <si>
    <t>11-RDH-3D &amp; 04-DHKT-3D</t>
  </si>
  <si>
    <t>attente TRS</t>
  </si>
  <si>
    <t>266  profils 2D de la region Benkahla</t>
  </si>
  <si>
    <t>BKOS-1&amp;2</t>
  </si>
  <si>
    <t>Diagraphies</t>
  </si>
  <si>
    <t>PSTM + vitesses</t>
  </si>
  <si>
    <t>Merge_Berkine-3D</t>
  </si>
  <si>
    <t>PSTM + vitesses+ Gathers + Rapport</t>
  </si>
  <si>
    <t>Merge_Bir_ED-3D</t>
  </si>
  <si>
    <t>Processing Report</t>
  </si>
  <si>
    <t>72-EM-42,74-OT-01,07,77-EM-118-119,84-GB-08,97-EDJ-01,02,07,08,08-GEB-04,06,15,17,21,23,25</t>
  </si>
  <si>
    <t xml:space="preserve">Terrain </t>
  </si>
  <si>
    <t>ATKS-3D Merge</t>
  </si>
  <si>
    <t xml:space="preserve">Angle stack </t>
  </si>
  <si>
    <t>11-GHA-3D,MERGE-ATKS-3D+78-98-99HRM-2D,82-HRS-2D,78-MET-2D+NH-3D+MET-3D</t>
  </si>
  <si>
    <t xml:space="preserve">Angle stack +PSTM </t>
  </si>
  <si>
    <t>EMZNE-3D</t>
  </si>
  <si>
    <t>PSTM (PAM)</t>
  </si>
  <si>
    <t>22-MDR-2D</t>
  </si>
  <si>
    <t>DDS</t>
  </si>
  <si>
    <t>données originales</t>
  </si>
  <si>
    <t>ANR-3D</t>
  </si>
  <si>
    <t xml:space="preserve"> Angle stack, PSTM et vitesses, rapport</t>
  </si>
  <si>
    <t>18-TST-EXT-3D</t>
  </si>
  <si>
    <t>rapport de traitement</t>
  </si>
  <si>
    <t>21-ED-2D</t>
  </si>
  <si>
    <t xml:space="preserve">PSTM +Vitesses et raport de traitement </t>
  </si>
  <si>
    <t>08-AMA-3D</t>
  </si>
  <si>
    <t>PSTM, vitesses, angles stack</t>
  </si>
  <si>
    <t>Pas d'angle ssatck ni vitesses: attente PED</t>
  </si>
  <si>
    <t>00-ED/07-ED/16-ED-2D</t>
  </si>
  <si>
    <t xml:space="preserve">Acquisition et processing Report </t>
  </si>
  <si>
    <t>attente ASN</t>
  </si>
  <si>
    <t>PST et vitesses + rapports</t>
  </si>
  <si>
    <t>16-SBA-3D</t>
  </si>
  <si>
    <t xml:space="preserve">Statiques </t>
  </si>
  <si>
    <t>14-El KSEUR-3D</t>
  </si>
  <si>
    <t xml:space="preserve">PSTM+Vitesses +Processing report </t>
  </si>
  <si>
    <t>TRHW-1 &amp; TRHE-1</t>
  </si>
  <si>
    <t xml:space="preserve">VSP &amp; Diagraphies </t>
  </si>
  <si>
    <t>3Go</t>
  </si>
  <si>
    <t xml:space="preserve">données terrain , statique et vitesses </t>
  </si>
  <si>
    <t>756 Go</t>
  </si>
  <si>
    <t>80-ED-70, 89-TGT-14; 92-TGT-12 + 16-NBBR-3D, 98-TGT-3D et 06-MOM-3D</t>
  </si>
  <si>
    <t>PSTM</t>
  </si>
  <si>
    <t>05-HMD-3D</t>
  </si>
  <si>
    <t>0,1 Go</t>
  </si>
  <si>
    <t>PSTM with filter</t>
  </si>
  <si>
    <t>58 Go</t>
  </si>
  <si>
    <t>02-HDZ, 09-HDZ, 96-HGA, 06-HGW, 10-HMDNE, 10-HMDN</t>
  </si>
  <si>
    <t>0,4 Go</t>
  </si>
  <si>
    <t>16-Zarzaitine-3D</t>
  </si>
  <si>
    <t xml:space="preserve">PSTM, Gather, angles stack, vitesses </t>
  </si>
  <si>
    <t>23-MLRE-2D</t>
  </si>
  <si>
    <t xml:space="preserve">Données terrain </t>
  </si>
  <si>
    <t>80Go</t>
  </si>
  <si>
    <t>Bir El ater 2D et El Ouabed 2D</t>
  </si>
  <si>
    <t>Data originale</t>
  </si>
  <si>
    <t>14-EMZS_SO-3D</t>
  </si>
  <si>
    <t xml:space="preserve">Gather, vitesses, processing report </t>
  </si>
  <si>
    <t>4700 Go</t>
  </si>
  <si>
    <t xml:space="preserve">EMZNO-KEA-3D </t>
  </si>
  <si>
    <t>0,45 Go</t>
  </si>
  <si>
    <t>15-TJN-3D</t>
  </si>
  <si>
    <t>341 Go</t>
  </si>
  <si>
    <t>TNB-3D /TRT_HOA-3D, HFA-3D</t>
  </si>
  <si>
    <t>52Go</t>
  </si>
  <si>
    <t>20-OANS-3D</t>
  </si>
  <si>
    <t xml:space="preserve">Rapport de fin de compagne </t>
  </si>
  <si>
    <t>Attente Envoi DOE</t>
  </si>
  <si>
    <t>Mega Merge TGT</t>
  </si>
  <si>
    <t>Data en cours de traitement à ENAGEO</t>
  </si>
  <si>
    <t>18-NILI-3D et 10-KSH-3D</t>
  </si>
  <si>
    <t>80 Go</t>
  </si>
  <si>
    <t>15-MET-3D</t>
  </si>
  <si>
    <t>PSTM APM</t>
  </si>
  <si>
    <t>42,8 Go</t>
  </si>
  <si>
    <r>
      <rPr>
        <sz val="11"/>
        <color rgb="FFFF0000"/>
        <rFont val="Arial"/>
        <family val="2"/>
      </rPr>
      <t>21-ED-2D/3D</t>
    </r>
    <r>
      <rPr>
        <sz val="11"/>
        <color rgb="FF000000"/>
        <rFont val="Arial"/>
        <family val="2"/>
      </rPr>
      <t>;</t>
    </r>
    <r>
      <rPr>
        <sz val="11"/>
        <color rgb="FF2F75B5"/>
        <rFont val="Arial"/>
        <family val="2"/>
      </rPr>
      <t xml:space="preserve"> 21-EHJN-3D; ELBS/ELBW</t>
    </r>
    <r>
      <rPr>
        <sz val="11"/>
        <color rgb="FF000000"/>
        <rFont val="Arial"/>
        <family val="2"/>
      </rPr>
      <t xml:space="preserve">; </t>
    </r>
    <r>
      <rPr>
        <sz val="11"/>
        <color rgb="FF2F75B5"/>
        <rFont val="Arial"/>
        <family val="2"/>
      </rPr>
      <t>20-AKRS-3D, 19-SBAA-3D; 16-NBBR-3D</t>
    </r>
  </si>
  <si>
    <t xml:space="preserve">Stack et vitesses </t>
  </si>
  <si>
    <t>Deja remis EHJN et SBAA, les autres en cours de traitement</t>
  </si>
  <si>
    <t>19-HBAN-3D; 18-IAM_Ext-3D</t>
  </si>
  <si>
    <t>PSTM et vitesses</t>
  </si>
  <si>
    <t>En cours de traitement</t>
  </si>
  <si>
    <t>14-EMZS_N-3D</t>
  </si>
  <si>
    <t>PSTM, Angles satck, vitesses et Gathers NMO</t>
  </si>
  <si>
    <t>1250 Go</t>
  </si>
  <si>
    <t>21-ED/93-ED-2D</t>
  </si>
  <si>
    <t xml:space="preserve">Bandes et docs terrrain </t>
  </si>
  <si>
    <t>data original</t>
  </si>
  <si>
    <t>04-TFR-3D</t>
  </si>
  <si>
    <t>0,01 Go</t>
  </si>
  <si>
    <t>MERGE_Berkine-3D</t>
  </si>
  <si>
    <t>Gathers, angles stack; vitesses, final report, PSTM</t>
  </si>
  <si>
    <t>Arret du centre au cours  de la copie : copier 5 bdes sur 8</t>
  </si>
  <si>
    <t>EM/-2D et AAG-2D/EMZ-2d, HMT-2D, ORG-2D, EHJ-2D</t>
  </si>
  <si>
    <t>original data</t>
  </si>
  <si>
    <t>Prêt</t>
  </si>
  <si>
    <t>18-OT-3D</t>
  </si>
  <si>
    <t>Final Opreation Report</t>
  </si>
  <si>
    <t>0,02 Go</t>
  </si>
  <si>
    <t>21-ED-3D</t>
  </si>
  <si>
    <t>Gathers NMO</t>
  </si>
  <si>
    <t>Carto/DMG</t>
  </si>
  <si>
    <t>REH-3D</t>
  </si>
  <si>
    <t>06-MGD-2D</t>
  </si>
  <si>
    <t>ALNAFT</t>
  </si>
  <si>
    <t>Bandes et doc terrain</t>
  </si>
  <si>
    <t>11-RDH-3D</t>
  </si>
  <si>
    <t>DMG</t>
  </si>
  <si>
    <t>Inversion</t>
  </si>
  <si>
    <t xml:space="preserve">Processing report </t>
  </si>
  <si>
    <t>20-FER-2D</t>
  </si>
  <si>
    <t>PSTM PAM</t>
  </si>
  <si>
    <t>Inversion, angles stack  + rapport</t>
  </si>
  <si>
    <t>19-GEB-3D</t>
  </si>
  <si>
    <t>21-TND-3D + 22-TND-3D ext</t>
  </si>
  <si>
    <t>Gathers NMO, PSTM, Report, vitesses</t>
  </si>
  <si>
    <t>Data non encore parvenu</t>
  </si>
  <si>
    <t xml:space="preserve">Gathers, PSTM, vitesses </t>
  </si>
  <si>
    <t>14-HEK-/ 05-RTB_West/18-NG-3D/13-BG-3D</t>
  </si>
  <si>
    <t>PSTM(AGC+PAM), Processing report</t>
  </si>
  <si>
    <t>22-ELOC-3D</t>
  </si>
  <si>
    <t>gathers, PSTM, viteses angle stack</t>
  </si>
  <si>
    <t>Data inexistant ( non encore acquis sur terrain)</t>
  </si>
  <si>
    <t>37 etudes 2D</t>
  </si>
  <si>
    <t>PSTM + processing reports</t>
  </si>
  <si>
    <t>21-NGHA-3D</t>
  </si>
  <si>
    <t>PSTM, Velocity, rapport</t>
  </si>
  <si>
    <t>HSA-3D, BRHBK-3D, Tamzaia-3D, BIr-ED-3D, SBAA-3D</t>
  </si>
  <si>
    <t xml:space="preserve">Rapport de fin de traitement par caracterastion </t>
  </si>
  <si>
    <t>Merge ATKS-3D</t>
  </si>
  <si>
    <t xml:space="preserve">PSTM, gathers Mo, vitesses et rapports </t>
  </si>
  <si>
    <t>15-MET/17-ZIR/16/NH-3D Merge 15-ZN_NZF-3D</t>
  </si>
  <si>
    <t>Stack, vitesses et rapport</t>
  </si>
  <si>
    <t>PSTM, angles stack</t>
  </si>
  <si>
    <t>TRIG/IAK-3D</t>
  </si>
  <si>
    <t>Gathers, vitesses et rapport</t>
  </si>
  <si>
    <t xml:space="preserve">HRM_Qland, HRM, 22 MTL, 18-OT ,19-HBAN  </t>
  </si>
  <si>
    <t>PSTM PAM et AGC</t>
  </si>
  <si>
    <t>22-REZ-3D</t>
  </si>
  <si>
    <t>PSTM, Gathers, vitesses, rapport</t>
  </si>
  <si>
    <t>en cours du QC</t>
  </si>
  <si>
    <t>KLSE-1 &amp; KLO-1</t>
  </si>
  <si>
    <t>22-BLR-3D</t>
  </si>
  <si>
    <t>PSTM, Gathers, vitesses</t>
  </si>
  <si>
    <t>2023-HMD-3D  +  14-Assekaifaf-3D</t>
  </si>
  <si>
    <t xml:space="preserve">Données terrain + Report </t>
  </si>
  <si>
    <t>Alimentation continue di Zip01</t>
  </si>
  <si>
    <t>06-BRA-3D</t>
  </si>
  <si>
    <t xml:space="preserve">Rapport final d'acqusition </t>
  </si>
  <si>
    <t>TGN-3D</t>
  </si>
  <si>
    <t xml:space="preserve">PSTM, PSTM, Vitesses et rapports </t>
  </si>
  <si>
    <t>Merge ZIR/OT-3D+ZIR-3D + OT-3D</t>
  </si>
  <si>
    <t xml:space="preserve">PSTM, vitesses et rapports </t>
  </si>
  <si>
    <t>GD-1, GD-1bis,GDN-1BIS, GND-2 à 4  GDSE-1  MES1BIS</t>
  </si>
  <si>
    <t xml:space="preserve">VSP et diagraphies </t>
  </si>
  <si>
    <t>(ONR, ATKS, OSB; ANZ)-3D + Merge</t>
  </si>
  <si>
    <t>Gathers,PSTM, vel, angles tack</t>
  </si>
  <si>
    <t xml:space="preserve">original </t>
  </si>
  <si>
    <t>16-SBAA-3D</t>
  </si>
  <si>
    <t xml:space="preserve">PSTM, PSDM, Gathers, angles stack, vitessess, rapport de traitement </t>
  </si>
  <si>
    <t>81-TAM-2D, 98-TAM-2D, 76-ZAK-2D</t>
  </si>
  <si>
    <t xml:space="preserve">PSTM, Velocities, rapports </t>
  </si>
  <si>
    <t>19-ET-3D</t>
  </si>
  <si>
    <t>SSEDE-1 &amp; ET-101</t>
  </si>
  <si>
    <t>Diagraphies + VSP</t>
  </si>
  <si>
    <t>19-SBAA-3D</t>
  </si>
  <si>
    <t>Processing _Data</t>
  </si>
  <si>
    <t>:FOKC-1, FGL-1, KES-1, TS-1, FOKN-1 </t>
  </si>
  <si>
    <t>11-EST-TFT-3D (Belhouda)</t>
  </si>
  <si>
    <t>Stack, angles stack, gather, velocity, rapport</t>
  </si>
  <si>
    <t>17-BNW-3D</t>
  </si>
  <si>
    <t xml:space="preserve"> Angle stack</t>
  </si>
  <si>
    <t>18-HDL-3D</t>
  </si>
  <si>
    <t>PSTM, Velocity, angles stac, rapports</t>
  </si>
  <si>
    <t>05-BRA-3D; 01-GEA-*3D; 07-FDA-3D</t>
  </si>
  <si>
    <t>10-ELO-2D</t>
  </si>
  <si>
    <t>FOKN-1; FOKC-1; KES-1; FGL-1</t>
  </si>
  <si>
    <t xml:space="preserve">coordonnées de puits </t>
  </si>
  <si>
    <t>Carto/DDS</t>
  </si>
  <si>
    <t>TOUAl-3D</t>
  </si>
  <si>
    <t>TOUAL8BRDN-3D, GEA-3D</t>
  </si>
  <si>
    <t>PSTM, vitesses, Rapport,</t>
  </si>
  <si>
    <t>Projet BRA, FDA; GEA-3D</t>
  </si>
  <si>
    <t>Data puits</t>
  </si>
  <si>
    <t>Region Tihalatine (TA, TAN, TLHS,,,</t>
  </si>
  <si>
    <t>Data puits (VSP, RFS, Implantation, ,,)</t>
  </si>
  <si>
    <t>Puits (FOK,1 à 9)</t>
  </si>
  <si>
    <t>Logs data</t>
  </si>
  <si>
    <t>11BT2BIS,4BIS, 06,11&amp; 12MGD-01,03,04, 77MGD04.</t>
  </si>
  <si>
    <t>04-MGD-2D, 77-MGD-2D, 78-MGD-2D, 83-MGD-2D</t>
  </si>
  <si>
    <t>TA-4</t>
  </si>
  <si>
    <t>Diagraphies, rapports et VSP</t>
  </si>
  <si>
    <t>Gathers, Vel, PSTM</t>
  </si>
  <si>
    <t>4-EMZS( EMZSO/EMZNE</t>
  </si>
  <si>
    <t>PSTM, Angles Stack, Rapports, vitesses</t>
  </si>
  <si>
    <t>PSTM, PSDM, Vitesses</t>
  </si>
  <si>
    <t>OAD-2</t>
  </si>
  <si>
    <t>Diagraphies &amp; VSP</t>
  </si>
  <si>
    <t>DJFNW-1</t>
  </si>
  <si>
    <t>07-ZENE-3D</t>
  </si>
  <si>
    <t xml:space="preserve">PSTM, Rapports </t>
  </si>
  <si>
    <t>PSTM, Vitesses + Final report</t>
  </si>
  <si>
    <t xml:space="preserve"> puits BH-1 à 37</t>
  </si>
  <si>
    <t>diagrephies et VSP</t>
  </si>
  <si>
    <t>18-BNW-3D</t>
  </si>
  <si>
    <t>Puits BH, BHC, BHE</t>
  </si>
  <si>
    <t xml:space="preserve">Rapport </t>
  </si>
  <si>
    <t>17-SYDN-3D</t>
  </si>
  <si>
    <t>Pr-merge volume</t>
  </si>
  <si>
    <t>Merge-ZIR/OT-3D</t>
  </si>
  <si>
    <t>Merge OL-HMD-3D + HSA-3D</t>
  </si>
  <si>
    <t>GEH-3D &amp; BEL-3D</t>
  </si>
  <si>
    <t>HRS-3,5,7,9,11 et 39</t>
  </si>
  <si>
    <t>Permietre Bloc 430, 431, 324</t>
  </si>
  <si>
    <t>11-GHA-3D</t>
  </si>
  <si>
    <t>SPS et  R,Obs</t>
  </si>
  <si>
    <t>Rapport CVT</t>
  </si>
  <si>
    <t>HK-2D et EH-2D</t>
  </si>
  <si>
    <t>15-ARN-3D</t>
  </si>
  <si>
    <t>03-ZR-3D,12-HTZ-3D et 02-RES-3D.</t>
  </si>
  <si>
    <t>14-IAM-3D</t>
  </si>
  <si>
    <t xml:space="preserve">PSTM+ vitesses </t>
  </si>
  <si>
    <t>23-DIH-2D et 24-DIH-3D</t>
  </si>
  <si>
    <t>EH/GS-2D</t>
  </si>
  <si>
    <t xml:space="preserve">Navigation </t>
  </si>
  <si>
    <t>16-SBAA/04-Toaut/HINE/Hassi Ilatou/04-SBAA-3D</t>
  </si>
  <si>
    <t>Gahthers, vitesses</t>
  </si>
  <si>
    <t>GOU/TIM/SBAA-2D</t>
  </si>
  <si>
    <t>14-HEK-3D</t>
  </si>
  <si>
    <t>DHKT-3D</t>
  </si>
  <si>
    <t xml:space="preserve">Gathers et vitesses  </t>
  </si>
  <si>
    <t>54 porfils sismqiues (ARN/SG/MN-2D)</t>
  </si>
  <si>
    <t xml:space="preserve">Bandes et documents terrain </t>
  </si>
  <si>
    <t>Hassi BA Hamou , ErgEl Anguer, HEM/3D</t>
  </si>
  <si>
    <t>05-DARMOUN-3D</t>
  </si>
  <si>
    <t>SPS et Topo</t>
  </si>
  <si>
    <t>80-AR/82Ar-2D</t>
  </si>
  <si>
    <t>PSTM (trait CTD)</t>
  </si>
  <si>
    <t>16-ED-2D/ 17-ED-2D</t>
  </si>
  <si>
    <t>Final Reports ( Acq &amp; Traitement)</t>
  </si>
  <si>
    <t>76-AL-155, 157 et 76-BK-103, 106, 107, 108A</t>
  </si>
  <si>
    <t>PEA-2D</t>
  </si>
  <si>
    <t>73-OFR2D</t>
  </si>
  <si>
    <t>71-D,14,24,25,32,33 + 71-DK-1,2</t>
  </si>
  <si>
    <t>Satck, mig</t>
  </si>
  <si>
    <t>Meg/GS/TZ/,,,-2D</t>
  </si>
  <si>
    <t>Satck,</t>
  </si>
  <si>
    <t>09-ARG-2D; 14-ARG-2D et 17-ARG-2D</t>
  </si>
  <si>
    <t>Données Satck</t>
  </si>
  <si>
    <t xml:space="preserve">13 etudes </t>
  </si>
  <si>
    <t>Données vitesses</t>
  </si>
  <si>
    <t>09-GEG-3D; 06-HGW-3D &amp; 05-DARMON-3D</t>
  </si>
  <si>
    <t>14-HBR, 14-EMZNS_ NE/NO, 13-GEH, RHA_TOUS;AKRS</t>
  </si>
  <si>
    <t>MZNO-KEA-3D, Sud RBL-3D, BRA_ZMH-3D, Berkaoui-3D</t>
  </si>
  <si>
    <t>78-BKH-22</t>
  </si>
  <si>
    <t>21-GG-2D + 19-HBAN-3D</t>
  </si>
  <si>
    <t>PSTM + Vitesses ++ Rapport</t>
  </si>
  <si>
    <t>SYDN-3D et Merge Berkine-3D</t>
  </si>
  <si>
    <t>Documents etudes sismques 2D posterieures à 2010</t>
  </si>
  <si>
    <t xml:space="preserve">Docuements terrain </t>
  </si>
  <si>
    <t>Satck</t>
  </si>
  <si>
    <t>2023-DIH-3D</t>
  </si>
  <si>
    <t xml:space="preserve">Bandes et docs terrain </t>
  </si>
  <si>
    <t>Original</t>
  </si>
  <si>
    <t>MGD, REG/AA/CM/AB-2D</t>
  </si>
  <si>
    <t>TIM/GOUA/SBAA-2D</t>
  </si>
  <si>
    <t>13-RSH-3D</t>
  </si>
  <si>
    <t>Inexistant en tant que tel</t>
  </si>
  <si>
    <t>12-BNW-3D</t>
  </si>
  <si>
    <t>PSTM PAM, Vitesses et Angles stack</t>
  </si>
  <si>
    <t xml:space="preserve">PSTM </t>
  </si>
  <si>
    <t>23-KSHO-3D</t>
  </si>
  <si>
    <t>Bande  et doc terrain</t>
  </si>
  <si>
    <t>16-Zarzaitine/14-THT-3D</t>
  </si>
  <si>
    <t>23-DIH-3D</t>
  </si>
  <si>
    <t>Bande, documents terrain et rapports</t>
  </si>
  <si>
    <t>12-EHJ-44</t>
  </si>
  <si>
    <t xml:space="preserve">Doonées terrain brutes et  navigation </t>
  </si>
  <si>
    <t>80-DG/79-SG/82-ARN-2D</t>
  </si>
  <si>
    <t xml:space="preserve">22-MLR-Ext  </t>
  </si>
  <si>
    <t xml:space="preserve">Bande terrain </t>
  </si>
  <si>
    <t>06-MGD-144</t>
  </si>
  <si>
    <t>80-DG-05,6 &amp; 79-SG-46</t>
  </si>
  <si>
    <t>14-HMT-2D</t>
  </si>
  <si>
    <t>Vitesses, statics, rapport trait, nav</t>
  </si>
  <si>
    <t xml:space="preserve">Bades et doc terrain </t>
  </si>
  <si>
    <t>(90-MK/05-MK-/05-Msari/11-GOU)-2D</t>
  </si>
  <si>
    <t>14-GEH-3D</t>
  </si>
  <si>
    <t>13-NIL-2D</t>
  </si>
  <si>
    <t>11-TRT-HOA-3D</t>
  </si>
  <si>
    <t>originale</t>
  </si>
  <si>
    <t>24-GOU-2D</t>
  </si>
  <si>
    <t>14-RZL-05Ouest, 17 et 12-TLG-01 et 12</t>
  </si>
  <si>
    <t>SG/ARN/ARC,/ST/MN/-2D</t>
  </si>
  <si>
    <t>SG-1,4,10,11 et 80-DG-2, 11 et  29</t>
  </si>
  <si>
    <t xml:space="preserve">Donneés terrain </t>
  </si>
  <si>
    <t>03-NJ-2D et 13-NJ-2D</t>
  </si>
  <si>
    <t>0,,05</t>
  </si>
  <si>
    <t>80-AR-04, 06, 07, 09, 15, 18 &amp; 05-KH-01</t>
  </si>
  <si>
    <t>00-ODN-18</t>
  </si>
  <si>
    <t>17-SG-04</t>
  </si>
  <si>
    <t>PSTM, Velo, statics, report</t>
  </si>
  <si>
    <t>18-ELBS-3D (Zip3)</t>
  </si>
  <si>
    <t xml:space="preserve">Bandes terrain </t>
  </si>
  <si>
    <t>08-NJ-20</t>
  </si>
  <si>
    <t>Bandes et docs terrain</t>
  </si>
  <si>
    <t>ELBS-3D Zip2</t>
  </si>
  <si>
    <t xml:space="preserve">bandes terrain </t>
  </si>
  <si>
    <t>05-KH-2D</t>
  </si>
  <si>
    <t>05-RN-3D</t>
  </si>
  <si>
    <t>15-Zarzaitine-3D</t>
  </si>
  <si>
    <t>03-BRE-08</t>
  </si>
  <si>
    <t>Bdes, doc terrain, legacy data , rapports</t>
  </si>
  <si>
    <t>Pour Legacy data diriger et rapports vers BDD</t>
  </si>
  <si>
    <t>2024-HSN-2D</t>
  </si>
  <si>
    <t>bandes et doc terrain</t>
  </si>
  <si>
    <t>13-NIL-3D</t>
  </si>
  <si>
    <t>SBA; TIM, GOU-2D (115 profils)</t>
  </si>
  <si>
    <t>Projet Ain Reggada</t>
  </si>
  <si>
    <t>Projet SAOURA</t>
  </si>
  <si>
    <t xml:space="preserve">Bande set documents terrain </t>
  </si>
  <si>
    <t>• 2017-SG.; 2010-MN. 2018-ST</t>
  </si>
  <si>
    <t>Stack, vitesses et statique, navuagation, processing report)</t>
  </si>
  <si>
    <t xml:space="preserve">28 Profis 2D se situant à la Direction Asset Ouest </t>
  </si>
  <si>
    <t xml:space="preserve">13-NIL-17+ 93-MGN-1 + 93-ED-04, 10 et 17 + 16-ED-13 &amp; 25  </t>
  </si>
  <si>
    <t>13-NIL-212, 92-BZ-09, 15, 17, 56,62</t>
  </si>
  <si>
    <t xml:space="preserve">Bdes et doc terrain </t>
  </si>
  <si>
    <t>Merge Zelfana-3D</t>
  </si>
  <si>
    <t>OUDOUME OUEST-3D</t>
  </si>
  <si>
    <t>08-CH-2D</t>
  </si>
  <si>
    <t>All Processing Data</t>
  </si>
  <si>
    <t>10-REH-3D</t>
  </si>
  <si>
    <t>17-GRA-3D</t>
  </si>
  <si>
    <t>DADN-3D</t>
  </si>
  <si>
    <t>04-MGD-03 et 05</t>
  </si>
  <si>
    <t>11-TNGN-3D</t>
  </si>
  <si>
    <t xml:space="preserve">PSTM, Gathers, vitesses </t>
  </si>
  <si>
    <t xml:space="preserve">PSTM, vitesses, </t>
  </si>
  <si>
    <t>ARN-5 &amp; 6</t>
  </si>
  <si>
    <t>VSP, Rapports, diagraphies</t>
  </si>
  <si>
    <t>18-NG-3D</t>
  </si>
  <si>
    <t>Stack, angle stack, vitesses, rapport</t>
  </si>
  <si>
    <t xml:space="preserve">18-NG-3D; 14-HEK-3D, </t>
  </si>
  <si>
    <t>Coordonnées de 3etudes et 2 prospects</t>
  </si>
  <si>
    <t xml:space="preserve">RJ-3D &amp; DSA-3D </t>
  </si>
  <si>
    <t>PSTM, vitesses et rapport de traitement</t>
  </si>
  <si>
    <t>14-HK-3D, 13-BG-3D, 19-BEA-3D</t>
  </si>
  <si>
    <t>11-RY-3D, 12-BNW-3D, Merge_Berkine-3D &amp; BRHBK-3D, REN-3D</t>
  </si>
  <si>
    <t xml:space="preserve">06-LT-3D (, 06-LTNE-3D,  06-SBAA-3D  &amp;  17-ODZ-3D </t>
  </si>
  <si>
    <t>Stack, gathers vitesses, rapport,</t>
  </si>
  <si>
    <t>TOUAL BRDN-3D</t>
  </si>
  <si>
    <t xml:space="preserve">Fichier Navigation </t>
  </si>
  <si>
    <t>05-M'SAR Akabli-3D</t>
  </si>
  <si>
    <t xml:space="preserve">PSTM, vitesses, angles stack, rapport </t>
  </si>
  <si>
    <t>21-BTA-3D</t>
  </si>
  <si>
    <t>19-MK-3D, 5-MK-2D; 90-MK-2D, 83-MK-77, 80-MK-2D, ,,,-MK-10</t>
  </si>
  <si>
    <t>2022-BLR-3D</t>
  </si>
  <si>
    <t>PSTM, vitesses, rapports</t>
  </si>
  <si>
    <t>Merge Touggourt-3D</t>
  </si>
  <si>
    <t xml:space="preserve">Bande et doc terrain </t>
  </si>
  <si>
    <t>18-NILI-3D</t>
  </si>
  <si>
    <t>22-HNS-3D</t>
  </si>
  <si>
    <t>2023-HBAW-3D</t>
  </si>
  <si>
    <t xml:space="preserve">Bandes &amp; doc terrain </t>
  </si>
  <si>
    <t>LOUDJ-3D  + ARB-3D</t>
  </si>
  <si>
    <t>Rapports de traitement</t>
  </si>
  <si>
    <t>Shape ZAR-3D</t>
  </si>
  <si>
    <t>Merge El Borma-3D</t>
  </si>
  <si>
    <t xml:space="preserve">Bandes et doc terrain </t>
  </si>
  <si>
    <t xml:space="preserve">PSTM, Shape file, well Data </t>
  </si>
  <si>
    <t>SPS</t>
  </si>
  <si>
    <t>21-GG-3D</t>
  </si>
  <si>
    <t>23-REG-3D (EST &amp; OUEST)</t>
  </si>
  <si>
    <t>19-AA-2D</t>
  </si>
  <si>
    <t>Final processing Report</t>
  </si>
  <si>
    <t>2006-SBAA-3D</t>
  </si>
  <si>
    <t xml:space="preserve">Bandes et doc terraion </t>
  </si>
  <si>
    <t>oribinal</t>
  </si>
  <si>
    <t>22-HEM-3D</t>
  </si>
  <si>
    <t>04-DHKT-3D</t>
  </si>
  <si>
    <t>14-HEK-3D + 18-NG-3D</t>
  </si>
  <si>
    <t>Bandes et doc Terrain</t>
  </si>
  <si>
    <t xml:space="preserve"> BENOUD 2D</t>
  </si>
  <si>
    <t>Bir El Ater 2D(HEK-3D)</t>
  </si>
  <si>
    <t>AZ-BZ (p rojet Ain Madhi)</t>
  </si>
  <si>
    <t xml:space="preserve">Bandes et doxc terrain </t>
  </si>
  <si>
    <t>24-DZ-3D</t>
  </si>
  <si>
    <t>24-GUER-3D</t>
  </si>
  <si>
    <t>23-HBAW-3D</t>
  </si>
  <si>
    <t xml:space="preserve">Bande set doc terrzain </t>
  </si>
  <si>
    <t>24-BZR-3D</t>
  </si>
  <si>
    <t>23-MLR-EST-2D</t>
  </si>
  <si>
    <t xml:space="preserve">orignal </t>
  </si>
  <si>
    <t xml:space="preserve">Vitesses statiques, rapport </t>
  </si>
  <si>
    <t xml:space="preserve">19-BIR-3D </t>
  </si>
  <si>
    <t>19-ED-3D</t>
  </si>
  <si>
    <t>19-TRT-3D</t>
  </si>
  <si>
    <t>84-DK-09 et 11</t>
  </si>
  <si>
    <t>15-MGD-07, 09, 14, 16</t>
  </si>
  <si>
    <t>12-GHA-3D</t>
  </si>
  <si>
    <t>02-CH, 05-CH, 07-CH, et 08CH-2D</t>
  </si>
  <si>
    <t xml:space="preserve">doc terrain </t>
  </si>
  <si>
    <t>08-CH-12</t>
  </si>
  <si>
    <t>12-AA-38</t>
  </si>
  <si>
    <t xml:space="preserve">Bande &amp; doc terrain </t>
  </si>
  <si>
    <t>24-BZ-3D</t>
  </si>
  <si>
    <t>16-BZG-3D</t>
  </si>
  <si>
    <t xml:space="preserve">Bande et documents terrain </t>
  </si>
  <si>
    <t>08-CH-19</t>
  </si>
  <si>
    <t>19-TAMZAIA-3D</t>
  </si>
  <si>
    <t>PSTM PAM+ PSTM_AGC</t>
  </si>
  <si>
    <t>81-BT,89-BZ-92ED, 72BZ, 73-LF, 78-ED</t>
  </si>
  <si>
    <t>TPR</t>
  </si>
  <si>
    <t>96-SBA,80-GOU,82-GOU,86-GOU,76-GOU,76-TIM</t>
  </si>
  <si>
    <t xml:space="preserve">Data et doc terrain </t>
  </si>
  <si>
    <t>Librairy vitesse</t>
  </si>
  <si>
    <t>2009-GEG-West-3D (Terrain, Doc)</t>
  </si>
  <si>
    <t>TMSK-1, BTA-1, BTAS-1, BTAS-2, BTAS-3, TGF-1, TGF-2,           TGF-3, TGFO-1,  TGFN-1, MSR-1, MSR-2, MSR-3,  OTLH1, OTLH-2, OTLHE-1, OTLHE-2, OFN-1, BHN-1ST1, FEZ-1bis, OFO-1, OF-1, OF-2, NBA-1, ODA-1, OLM-1, TBR-1.</t>
  </si>
  <si>
    <t>Rapports</t>
  </si>
  <si>
    <t>BERKINE OEUST</t>
  </si>
  <si>
    <t>Etudes de Synthese</t>
  </si>
  <si>
    <t>02-TEG-3D +MK-2D</t>
  </si>
  <si>
    <t>2000_2002-ALWG-2D, 2011-SHE_SHW-2D, 2013-SHW-3D + 19- SKIKDA-3D</t>
  </si>
  <si>
    <t>14-HEK3D</t>
  </si>
  <si>
    <t xml:space="preserve">PSTM, vitesses, rapportsd </t>
  </si>
  <si>
    <t>05-RTB-3D</t>
  </si>
  <si>
    <t xml:space="preserve">PSTM + Inversion </t>
  </si>
  <si>
    <t>OL/HMD-3D</t>
  </si>
  <si>
    <t xml:space="preserve">HCZ-1, HEK-1, HEK-2, HEK-3, HEKW-1 </t>
  </si>
  <si>
    <t xml:space="preserve">VSp, diagraphies </t>
  </si>
  <si>
    <t xml:space="preserve">13-AGNO-3D </t>
  </si>
  <si>
    <t xml:space="preserve"> 19-HBAN-3D</t>
  </si>
  <si>
    <t>Gathers avec NMO</t>
  </si>
  <si>
    <t xml:space="preserve"> 17-ARG-2D</t>
  </si>
  <si>
    <t xml:space="preserve">Processing report, Vitesses et statics </t>
  </si>
  <si>
    <t>19-AHARA-3D</t>
  </si>
  <si>
    <t>92-AB-13 &amp; 13A + 17-ARG-35</t>
  </si>
  <si>
    <t>TNHO-3D</t>
  </si>
  <si>
    <t xml:space="preserve">Data AVO/Inversion </t>
  </si>
  <si>
    <t>12-MGD-2D &amp; 12-AA-2D &amp; 09-AA-2D</t>
  </si>
  <si>
    <t>11-HMT-2D</t>
  </si>
  <si>
    <t xml:space="preserve">Vitesses + Rapport </t>
  </si>
  <si>
    <t xml:space="preserve">Inversion + Angles stack </t>
  </si>
  <si>
    <t>HBKS-1,2,3 et EMBK-1, 2, 3</t>
  </si>
  <si>
    <t xml:space="preserve">Bde Terrain &amp; Doc terrain </t>
  </si>
  <si>
    <t>TOUAT-3D</t>
  </si>
  <si>
    <t xml:space="preserve">Gathers,, PSTM, velocities </t>
  </si>
  <si>
    <t>ARN-1,5,6 + ARNN-1 + ARSE-1</t>
  </si>
  <si>
    <t>06-REB-3D &amp; 17-MESDAR-3D</t>
  </si>
  <si>
    <t>12-AA-2D, 09-AA-2D &amp; 12-MGD-2D</t>
  </si>
  <si>
    <t>25-SBAA-3D</t>
  </si>
  <si>
    <t>TOUS-1Bis</t>
  </si>
  <si>
    <t>INAS-1,-2, INA-2, INAO-1, INAC-1, EINO-1, IEKN-1, ISSE-1, ISSO-1, ISSW-1, NEIA-1, TIDW-1, TNBW-1.</t>
  </si>
  <si>
    <t>82-MK, 04-TEG, 80-TEG, 81-TEG, 20-TEG &amp; 78-TEG/2D</t>
  </si>
  <si>
    <t>16-SBAA-3D/06-LTNE-3D</t>
  </si>
  <si>
    <t>Data Post Stack</t>
  </si>
  <si>
    <t>89-BZ-01 et 03</t>
  </si>
  <si>
    <t>2016-IAM-3D</t>
  </si>
  <si>
    <t>angle stack</t>
  </si>
  <si>
    <t xml:space="preserve">Diagraphies </t>
  </si>
  <si>
    <t>13-GCO-3D</t>
  </si>
  <si>
    <t>Raw data, doc terrain, pstm, vel, rapport</t>
  </si>
  <si>
    <t>2025-RAH-05, 38 et 38 bis</t>
  </si>
  <si>
    <t>13-IAM-3D</t>
  </si>
  <si>
    <t>DER-2 &amp; 3 + DJHSE-1 et EGNS-1</t>
  </si>
  <si>
    <t>HRM-3D (Lot1 et 2)</t>
  </si>
  <si>
    <t>2023-HMD-3D</t>
  </si>
  <si>
    <t>OKB-1; DCB-1; HBK-1; ODM1 &amp;2</t>
  </si>
  <si>
    <t>18-ZIR-3D</t>
  </si>
  <si>
    <t>Merge ZIR  / OT-3D</t>
  </si>
  <si>
    <t>Merge ZIR/OT-3D</t>
  </si>
  <si>
    <t>MAMI-1, MAMI-2 &amp; WMAMI-1</t>
  </si>
  <si>
    <t>Logs &amp; VSP</t>
  </si>
  <si>
    <t xml:space="preserve">16 puits ( IEK, ARN, TID) </t>
  </si>
  <si>
    <t>PSTM PAM + vitesses</t>
  </si>
  <si>
    <t>2025-RST-DMS-3D</t>
  </si>
  <si>
    <t>ASEst</t>
  </si>
  <si>
    <t>ASOuest</t>
  </si>
  <si>
    <t>ASNord</t>
  </si>
  <si>
    <t xml:space="preserve">SLB / </t>
  </si>
  <si>
    <t xml:space="preserve">SINOPEC / </t>
  </si>
  <si>
    <t xml:space="preserve"> / </t>
  </si>
  <si>
    <t xml:space="preserve"> / En Partenarait</t>
  </si>
  <si>
    <t xml:space="preserve">SLB  / </t>
  </si>
  <si>
    <t xml:space="preserve">DP/DMG / </t>
  </si>
  <si>
    <t xml:space="preserve">ENAGEO / </t>
  </si>
  <si>
    <t xml:space="preserve">ENAGEO  / </t>
  </si>
  <si>
    <t xml:space="preserve"> / En cours </t>
  </si>
  <si>
    <t>14-EMZNO-3D</t>
  </si>
  <si>
    <t>16-NH-3D</t>
  </si>
  <si>
    <t>12-TMS-2D e 19-TMS-2D</t>
  </si>
  <si>
    <t>Gathers et vitesses</t>
  </si>
  <si>
    <t>PSTM PAM+ Gahters + vitesses</t>
  </si>
  <si>
    <t>PSTM AGC, PAM, vitesses et Gathes NMO</t>
  </si>
  <si>
    <t>23-BLR-3D</t>
  </si>
  <si>
    <t>BLR-101,1bis, 2</t>
  </si>
  <si>
    <t>2016-SBAA-3D</t>
  </si>
  <si>
    <t>PSTM, velocity, rapports</t>
  </si>
  <si>
    <t>VSP+Rapports</t>
  </si>
  <si>
    <t>PSTM, Vitesses PSDM, gathers</t>
  </si>
  <si>
    <t>ASCentre</t>
  </si>
  <si>
    <t>2018-GTS-3D</t>
  </si>
  <si>
    <t>Merge 21-EHJN-3D/17-EHJN-3D</t>
  </si>
  <si>
    <t>22-BBT-3D</t>
  </si>
  <si>
    <t>2025-AA-2D</t>
  </si>
  <si>
    <t xml:space="preserve">Bande set docs terrain </t>
  </si>
  <si>
    <t xml:space="preserve">Envoi au fur à mesure de reception </t>
  </si>
  <si>
    <t>SINOPEC</t>
  </si>
  <si>
    <t>03-ECF-3D</t>
  </si>
  <si>
    <t>14-DSA-3D</t>
  </si>
  <si>
    <t>15-RJ-3D</t>
  </si>
  <si>
    <t>18-OAD-3D</t>
  </si>
  <si>
    <t>Gathers; vitesses, PSTM, angle stack</t>
  </si>
  <si>
    <t>MK1</t>
  </si>
  <si>
    <t xml:space="preserve">ENAGEO / remis à mesure de reception  </t>
  </si>
  <si>
    <t>24-MGD-3D &amp; 22-HEM-3D</t>
  </si>
  <si>
    <t>24-MGD-3D inexistante</t>
  </si>
  <si>
    <t>Contrat non signé</t>
  </si>
  <si>
    <t>ZPEC</t>
  </si>
  <si>
    <t>01/12//2025</t>
  </si>
  <si>
    <t>Orginal</t>
  </si>
  <si>
    <t>S,AGO,HZ/2D</t>
  </si>
  <si>
    <t>(GG,MGD, BT,GEG,HTJ,BLR)</t>
  </si>
  <si>
    <t>En cours</t>
  </si>
  <si>
    <t>207 profils</t>
  </si>
  <si>
    <t>75 profls 2D</t>
  </si>
  <si>
    <t>94-Al/94-BT/94-MAO/01_03-RA)-2D &amp; 01-RN-2D</t>
  </si>
  <si>
    <t>(AL/BT/MAO/RA/RN)-/2D</t>
  </si>
  <si>
    <t>AssetOuest</t>
  </si>
  <si>
    <t>13-DMS-3D &amp; 13-HM-3D</t>
  </si>
  <si>
    <t>Remis SLB</t>
  </si>
  <si>
    <t>15-TND-2D &amp; 18-TND-2D</t>
  </si>
  <si>
    <t xml:space="preserve">PSTM, Gathers, Stack, agles stack vitesses et Rapport de traitement </t>
  </si>
  <si>
    <t xml:space="preserve">PSTM, Gathers,  vitesses </t>
  </si>
  <si>
    <t>A remettre à SLB</t>
  </si>
  <si>
    <t>PSTM, vitesses, rapport, angle satck</t>
  </si>
  <si>
    <t>DZA-3D, ISW_TAH-3D</t>
  </si>
  <si>
    <t>KPSTM</t>
  </si>
  <si>
    <t>PSTM +  Vitesses</t>
  </si>
  <si>
    <t>2022-NHS-3D</t>
  </si>
  <si>
    <t>83 + 1 CARTE</t>
  </si>
  <si>
    <t>2019-BEA-3D</t>
  </si>
  <si>
    <t>69 + 1 carte</t>
  </si>
  <si>
    <t>296  + 1 carte</t>
  </si>
  <si>
    <t>2018-HBHJ-EXT-3D</t>
  </si>
  <si>
    <t>51 + 1 carte</t>
  </si>
  <si>
    <t>Merge El Borma-3D II</t>
  </si>
  <si>
    <t>287 + 1 carte</t>
  </si>
  <si>
    <t>2015-FSGW-3D</t>
  </si>
  <si>
    <t>ZAR-3D</t>
  </si>
  <si>
    <t>2017-REB-3D</t>
  </si>
  <si>
    <t>2021-TND-3D</t>
  </si>
  <si>
    <r>
      <t>2009-TND-2D</t>
    </r>
    <r>
      <rPr>
        <sz val="11"/>
        <color rgb="FF000000"/>
        <rFont val="Calibri"/>
        <family val="2"/>
      </rPr>
      <t xml:space="preserve"> </t>
    </r>
  </si>
  <si>
    <r>
      <t>2005-BRA-3D</t>
    </r>
    <r>
      <rPr>
        <sz val="12"/>
        <color rgb="FF000000"/>
        <rFont val="Arial"/>
        <family val="2"/>
      </rPr>
      <t xml:space="preserve"> </t>
    </r>
  </si>
  <si>
    <t>Asset Partenariat</t>
  </si>
  <si>
    <t>09-TOUAL-3D</t>
  </si>
  <si>
    <t xml:space="preserve">Bandes et doc  terrain </t>
  </si>
  <si>
    <t>Stack Data</t>
  </si>
  <si>
    <t>Fin de remise de données  Decenbre 2025</t>
  </si>
  <si>
    <t>2025-RAH-2D</t>
  </si>
  <si>
    <t>Projet SAOURA-2D(25 profils)</t>
  </si>
  <si>
    <t xml:space="preserve">originale </t>
  </si>
  <si>
    <t>76-ISR-11,23 + 81-ISR107,118 &amp; 87-ISR-03</t>
  </si>
  <si>
    <t>16-ED-29,31,32,33,35,37 à 44+ 46&amp; 48</t>
  </si>
  <si>
    <t>2024-DZ-3D</t>
  </si>
  <si>
    <t>76-ISR-11 &amp; 23 +81-ISR-107  118 + 87-ISR-03</t>
  </si>
  <si>
    <t>21-TND-3D</t>
  </si>
  <si>
    <t>TAS-2D BB-2D, JAR-2D</t>
  </si>
  <si>
    <t xml:space="preserve">BAndes et documents terrain </t>
  </si>
  <si>
    <t>15-FSGW-3D</t>
  </si>
  <si>
    <t>17-TZ-2D</t>
  </si>
  <si>
    <t>14-EMZSO/EMZNE-3D</t>
  </si>
  <si>
    <t>ASSEKAIFAF-3D</t>
  </si>
  <si>
    <t>Gathers + PSTM</t>
  </si>
  <si>
    <t>Envoi ENAGEO</t>
  </si>
  <si>
    <t>Merge Berkine-3D, Merge El Merk-3D et RFN-3D</t>
  </si>
  <si>
    <t xml:space="preserve">2018-TND-3D remis à ENAGEO; </t>
  </si>
  <si>
    <t>12-MAMI-3D</t>
  </si>
  <si>
    <t>Merge 09-Bel-3D/14-GEH-3D</t>
  </si>
  <si>
    <t>Gathers, stakc, angles stack, vitesses</t>
  </si>
  <si>
    <t>Origina</t>
  </si>
  <si>
    <t xml:space="preserve">Envoi ENAGEO </t>
  </si>
  <si>
    <t>07-HRM-3D</t>
  </si>
  <si>
    <t>Data Post DGF</t>
  </si>
  <si>
    <t>Copie  finalisée , attente transfert de HMD</t>
  </si>
  <si>
    <t>2024-TEK-3D</t>
  </si>
  <si>
    <t>2012-HDN-3D</t>
  </si>
  <si>
    <t>2006-LT-3D</t>
  </si>
  <si>
    <t>PSTM, Gathers</t>
  </si>
  <si>
    <t>Merge Touggourt</t>
  </si>
  <si>
    <t xml:space="preserve">PSTM,  agles stack </t>
  </si>
  <si>
    <t>Total</t>
  </si>
  <si>
    <t>2010-ELO-2D</t>
  </si>
  <si>
    <t>1995-ODN-2D</t>
  </si>
  <si>
    <t>2000-ODN-2D</t>
  </si>
  <si>
    <t>2017-DIH-2D</t>
  </si>
  <si>
    <t>1974-DIM-2D</t>
  </si>
  <si>
    <t>1977-MN-2D</t>
  </si>
  <si>
    <t>1991-GTS-2D</t>
  </si>
  <si>
    <t>1999-GTS-2D</t>
  </si>
  <si>
    <t>2012-Oudoume-Ouest-3D</t>
  </si>
  <si>
    <t>Terrain + Doc</t>
  </si>
  <si>
    <t>A cropper</t>
  </si>
  <si>
    <t>114 profils</t>
  </si>
  <si>
    <t>97-SF, 98-HDZ, 02-ROM, 03-BRK, 05-BRN, 06-BSF, 07-RDB, 07-ROME, 07-FDF, 08-RHB, 12-FDF-EXT, 12-RER, 16-OSF, 17-HDL, 20-ELBW</t>
  </si>
  <si>
    <t>STACK</t>
  </si>
  <si>
    <t xml:space="preserve">Remis à Monseur Saich </t>
  </si>
  <si>
    <t>76-77-83-90-21-BE
17-BT
25-GS-2D
25-RAH-2D
25-MHG-3D
24-TEK-3D
94-BE
83-BE
77-BE
76-BE
18-AA
17-BT
11-BE
09-AA
05-BE
03-BE</t>
  </si>
  <si>
    <t>99-HC-2D
98-MAO-2D
94-MAO-2D
91-REO-2D
88-GT-2D
86-AL-2D
83-BK-2D
82-MKV-2D
79-ODN-2D
77-BK-2D
76-ODN-2D
75-GTL-2D
13-BK-2D
06-REK-2D
06-GT-2D
02-ZM-2D
00-BK-2D
2012 BS-2D</t>
  </si>
  <si>
    <t xml:space="preserve">2019-TMS-01 à 16 </t>
  </si>
  <si>
    <t>2019-TMS-18 à 23</t>
  </si>
  <si>
    <t>2016-RFN-3D</t>
  </si>
  <si>
    <t>EMZNO-KEA-3D et NH-3D</t>
  </si>
  <si>
    <t>2019-ET-3D
2018-TST Ext-3D
2015-NOD-3D
2015-GERS-3D
2014-IAM-3D
2018-IAM Ext-3D
2007-ODN-3D
2019-Ahara-3D
2023-DIH-3D
2014-TMS-3D
2009-TNO-3D
2010-TNO_Add-3D
2010-Tin Tadda-3D
2011-OFRE-3D
2011-EST TFT-3D</t>
  </si>
  <si>
    <t>2018-AEN-3D</t>
  </si>
  <si>
    <t>Gathers, angles stack</t>
  </si>
  <si>
    <t>2003RG
2004DHKT
2008KL
2022REZ
2023REG
2023REZ
20222023_REZ_Merge</t>
  </si>
  <si>
    <t>Processing , Acquisition Reports , Velocity data</t>
  </si>
  <si>
    <t xml:space="preserve"> MAME-1, MAMS-1 et NOB-1.</t>
  </si>
  <si>
    <t xml:space="preserve">2005-BRA-3D </t>
  </si>
  <si>
    <t>RAPPORT DE TRAITEMENT</t>
  </si>
  <si>
    <t>Merge MEHAIGUENE</t>
  </si>
  <si>
    <t>2006-HGAW-3D
2010-HMDNE-3D
2009-OL-3D
2009-HOZ-HGA-3D
2005-HMD-3D</t>
  </si>
  <si>
    <t>2006-BRD-3D (Repsol)
2009-El Assel-3D (Gazprom)
Merge_09-Toual_07-Toual_09-Toual Ext-3D (traitement en 2009 par Enageo pour SH)
Merge_REH-RHA-TOUA-3D (traitement en 2023 par DMG)</t>
  </si>
  <si>
    <t>vitesses</t>
  </si>
  <si>
    <t>non archivé</t>
  </si>
  <si>
    <t>TNK-2
TNKW-1
TNKW-2
KB-1
KB-2
KB-3
TEGE-1
TEG-1
TEG-2
TEG-2Bis
TEG-3Bis
REG-1
REG-2
REG-3
REG-5</t>
  </si>
  <si>
    <t>Data Puits</t>
  </si>
  <si>
    <t>1998-TGT-3D
2002-RES-3D
2005-BRA-2014-SRBL-XXXX-ZMH-3D
2005-BRA-3D
2006-BAT-3D
2006-MOM-3D
2006-RDC-3D
2007-DAD-2014-DADN-3D
2007-DAD-3D
2008-BMS-3D
2008-RHB-2002-ROM-2002-ZEK-REC-2007-ROME-2003-ZE-1998-ZENE-3D
2010-HMDNE-3D
2011-HBR-3D
2011-HBR-3D-Depth
2011-RAA-2006-MOM-3D
2011-RAA-2012-HBHJ-3D
2012-RER-2011-ZN-3D
2012-ZN-3D
2014-HBR-2011-HBR-3D
2014-SRBL-3D
2015-ANR-3D
2016-LD-3D
2017-HBHJ-3D
2009-BEL-2013-GEH-3D
2012-MAMMI-3D
2019-ED-3D
2010-DBR-3D</t>
  </si>
  <si>
    <t>volume vitesses</t>
  </si>
  <si>
    <t>2007-HRM-Qland-3D</t>
  </si>
  <si>
    <t>17-OBF-3D &amp; G,Merge TGT-3D</t>
  </si>
  <si>
    <t xml:space="preserve">données vitesses </t>
  </si>
  <si>
    <t>2019-BLR-2D
2014-SBA-2D
1999-SBA-2D
1999-ER-2D
1996-SBA-2D
1993-SBA-2D
1988-GOUA-2D
1987-GOUA-2D
1986-GOUA-2D
1985-GOU-2D
1982-GOU-2D
1980-GOU-2D</t>
  </si>
  <si>
    <t>Données projet SPIRAL</t>
  </si>
  <si>
    <t>1976-ISR-11</t>
  </si>
  <si>
    <t>Stacking chart</t>
  </si>
  <si>
    <t>97-TAS
95-REG
85-TAS
77-TZ
77-TAS
75-TAS
72-TAS
99-TAS 
92-JAR
80-BB
77-BB
76-TAS
73-BOU
72-BOU</t>
  </si>
  <si>
    <t>Données de puits</t>
  </si>
  <si>
    <t>Gathers NMO, vitesses</t>
  </si>
  <si>
    <t>13-ASSEKAIFAF-3D</t>
  </si>
  <si>
    <t>14-THT-3D</t>
  </si>
  <si>
    <t xml:space="preserve">Angle  stack+ PSTMS, rapport </t>
  </si>
  <si>
    <t>22-GG-2D</t>
  </si>
  <si>
    <t>Gathers + Vitesses</t>
  </si>
  <si>
    <t>19-HBAN-3D</t>
  </si>
  <si>
    <t>25-ED-3D</t>
  </si>
  <si>
    <t>16/02/2025</t>
  </si>
  <si>
    <t>En cours de crop</t>
  </si>
  <si>
    <t>Prêt ( attente ne voi global)</t>
  </si>
  <si>
    <t>non disponible</t>
  </si>
  <si>
    <t>Remis à SINOPEC</t>
  </si>
  <si>
    <t>26/06/206</t>
  </si>
  <si>
    <t>DSA 3D, RJ 3D &amp; ECF 3D</t>
  </si>
  <si>
    <t>RMO et rapport de traitement</t>
  </si>
  <si>
    <t>Remis à ZPEC</t>
  </si>
  <si>
    <t>21-MK-2D
22-NHS-3D
22-TND-3D
22-MTL-3D
23-DIH-3D
23-KSHO-3D
23-REG-3D
23-REZ-3D            
23-DIH-2D
23-GOU-2D
23-MLRE-2D
24-BZ-3D
24-HSN-2D
24-GS-2D
25-HMT-3D
25-SBA-3D
25-FDN-2D
25-SBA-2D
25-AA-2D</t>
  </si>
  <si>
    <t>RMO et rapport de traitement + Stack</t>
  </si>
  <si>
    <t>15-ZARZAITINE-3D</t>
  </si>
  <si>
    <t>Remis à sinopec</t>
  </si>
  <si>
    <t>BEL1,2, Bel-2bis, GEH-1,2,3 BELN-1 et DBL-1</t>
  </si>
  <si>
    <t xml:space="preserve">389 bdes </t>
  </si>
  <si>
    <t>Bandes terrain (Copie B)</t>
  </si>
  <si>
    <t>2025-HMD_Sud-3D Zip03 '( Envoi 01, 02 &amp; 03)</t>
  </si>
  <si>
    <t xml:space="preserve">RMO &amp; Rapport de Traitement </t>
  </si>
  <si>
    <t>19-MDR-2D</t>
  </si>
  <si>
    <t xml:space="preserve">Stack, vel &amp; rapprots </t>
  </si>
  <si>
    <t>Puits MAMI + NOB-1</t>
  </si>
  <si>
    <t xml:space="preserve">PSTM, vitesses, rapports </t>
  </si>
  <si>
    <t>MD-101</t>
  </si>
  <si>
    <t>SVP, rapports et Diagraphies</t>
  </si>
  <si>
    <t>Partage avec PED</t>
  </si>
  <si>
    <t xml:space="preserve">Non dissoinible </t>
  </si>
  <si>
    <t>Non disponible</t>
  </si>
  <si>
    <t xml:space="preserve">Non disponible </t>
  </si>
  <si>
    <t>Attente QC</t>
  </si>
  <si>
    <t>Remis par Bando HMD pour ENAGEO HMD</t>
  </si>
  <si>
    <t>2003-ZEN-3D</t>
  </si>
  <si>
    <t>33 Profils 2D</t>
  </si>
  <si>
    <t>Raw et doc terrains</t>
  </si>
  <si>
    <t>Données Gravi</t>
  </si>
  <si>
    <t>2021-ED-3D</t>
  </si>
  <si>
    <t>Zone HMD</t>
  </si>
  <si>
    <t>2024-HA-2D</t>
  </si>
  <si>
    <t>Stacks, Gathers</t>
  </si>
  <si>
    <t>07-GS-9,11,14,17 &amp; 78-MGD-99,10 et 76-HA-05N</t>
  </si>
  <si>
    <t>50 Go</t>
  </si>
  <si>
    <t xml:space="preserve">Raw data remis, attente docs terrain </t>
  </si>
  <si>
    <t>PSDM</t>
  </si>
  <si>
    <t>Attente dique de DP/DMG</t>
  </si>
  <si>
    <t>13-DMS-3D &amp; 05-DARMOUNE-3D</t>
  </si>
  <si>
    <t xml:space="preserve">Documents terrain </t>
  </si>
  <si>
    <t>SBMH-1; GBS-1 &amp; DJR-1</t>
  </si>
  <si>
    <t xml:space="preserve">VSP, rapport et Logs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</si>
</sst>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* #,##0.00\ &quot;€&quot;_-;\-* #,##0.00\ &quot;€&quot;_-;_-* &quot;-&quot;??\ &quot;€&quot;_-;_-@_-"/>
  </numFmts>
  <fonts count="18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2"/>
      <color rgb="FF5B9BD5"/>
      <name val="Calibri"/>
      <family val="2"/>
    </font>
    <font>
      <sz val="12"/>
      <color rgb="FF000000"/>
      <name val="Calibri"/>
      <family val="2"/>
    </font>
    <font>
      <b/>
      <sz val="11"/>
      <color rgb="FFFF0000"/>
      <name val="Arial"/>
      <family val="2"/>
    </font>
    <font>
      <sz val="18"/>
      <color rgb="FF000000"/>
      <name val="Arial"/>
      <family val="2"/>
    </font>
    <font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FF0000"/>
      <name val="Arial"/>
      <family val="2"/>
    </font>
    <font>
      <sz val="11"/>
      <color rgb="FF2F75B5"/>
      <name val="Arial"/>
      <family val="2"/>
    </font>
    <font>
      <b/>
      <sz val="11"/>
      <color rgb="FF0070C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2"/>
      <color rgb="FF000000"/>
      <name val="Arial"/>
      <family val="2"/>
    </font>
    <font>
      <i/>
      <sz val="11"/>
      <color rgb="FF000000"/>
      <name val="Arial"/>
      <family val="2"/>
    </font>
    <font>
      <b/>
      <sz val="11"/>
      <color rgb="FF0070C0"/>
      <name val="Calibri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auto="1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08">
    <xf numFmtId="0" fontId="0" fillId="0" borderId="0" xfId="0"/>
    <xf numFmtId="0" fontId="0" fillId="0" borderId="0" xfId="0" applyAlignment="1">
      <alignment vertical="center" wrapText="1"/>
    </xf>
    <xf numFmtId="0" fontId="6" fillId="0" borderId="0" xfId="0" applyFont="1"/>
    <xf numFmtId="0" fontId="7" fillId="0" borderId="0" xfId="0" applyFont="1"/>
    <xf numFmtId="9" fontId="16" fillId="0" borderId="2" xfId="1" applyFont="1" applyFill="1" applyBorder="1" applyAlignment="1">
      <alignment horizontal="left" vertical="top" wrapText="1"/>
    </xf>
    <xf numFmtId="0" fontId="9" fillId="0" borderId="7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top" wrapText="1"/>
    </xf>
    <xf numFmtId="14" fontId="3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14" fontId="3" fillId="0" borderId="5" xfId="0" applyNumberFormat="1" applyFont="1" applyFill="1" applyBorder="1" applyAlignment="1">
      <alignment horizontal="center" vertical="center"/>
    </xf>
    <xf numFmtId="0" fontId="9" fillId="0" borderId="12" xfId="0" applyFon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 wrapText="1"/>
    </xf>
    <xf numFmtId="14" fontId="0" fillId="0" borderId="5" xfId="0" applyNumberForma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14" fontId="0" fillId="0" borderId="3" xfId="0" applyNumberFormat="1" applyFill="1" applyBorder="1" applyAlignment="1">
      <alignment horizontal="right" vertical="center" wrapText="1"/>
    </xf>
    <xf numFmtId="14" fontId="0" fillId="0" borderId="2" xfId="0" applyNumberFormat="1" applyFill="1" applyBorder="1" applyAlignment="1">
      <alignment horizontal="right" vertical="center" wrapText="1"/>
    </xf>
    <xf numFmtId="0" fontId="0" fillId="0" borderId="4" xfId="0" applyFill="1" applyBorder="1" applyAlignment="1">
      <alignment horizontal="center" vertical="center" wrapText="1"/>
    </xf>
    <xf numFmtId="14" fontId="0" fillId="0" borderId="2" xfId="0" applyNumberFormat="1" applyFill="1" applyBorder="1" applyAlignment="1">
      <alignment vertical="center" wrapText="1"/>
    </xf>
    <xf numFmtId="0" fontId="0" fillId="0" borderId="8" xfId="0" applyFill="1" applyBorder="1" applyAlignment="1">
      <alignment horizontal="center" vertical="center" wrapText="1"/>
    </xf>
    <xf numFmtId="14" fontId="0" fillId="0" borderId="8" xfId="0" applyNumberFormat="1" applyFill="1" applyBorder="1" applyAlignment="1">
      <alignment horizontal="right" vertical="center" wrapText="1"/>
    </xf>
    <xf numFmtId="14" fontId="0" fillId="0" borderId="7" xfId="0" applyNumberFormat="1" applyFill="1" applyBorder="1" applyAlignment="1">
      <alignment horizontal="right" vertical="center" wrapText="1"/>
    </xf>
    <xf numFmtId="0" fontId="0" fillId="0" borderId="1" xfId="0" applyFill="1" applyBorder="1" applyAlignment="1">
      <alignment horizontal="center" vertical="center" wrapText="1"/>
    </xf>
    <xf numFmtId="14" fontId="0" fillId="0" borderId="7" xfId="0" applyNumberFormat="1" applyFill="1" applyBorder="1" applyAlignment="1">
      <alignment vertical="center" wrapText="1"/>
    </xf>
    <xf numFmtId="0" fontId="0" fillId="0" borderId="2" xfId="0" applyFill="1" applyBorder="1" applyAlignment="1">
      <alignment horizontal="center" vertical="center" wrapText="1"/>
    </xf>
    <xf numFmtId="14" fontId="3" fillId="0" borderId="8" xfId="0" applyNumberFormat="1" applyFont="1" applyFill="1" applyBorder="1" applyAlignment="1">
      <alignment horizontal="right" vertical="center" wrapText="1"/>
    </xf>
    <xf numFmtId="14" fontId="3" fillId="0" borderId="7" xfId="0" applyNumberFormat="1" applyFont="1" applyFill="1" applyBorder="1" applyAlignment="1">
      <alignment horizontal="right" vertical="center" wrapText="1"/>
    </xf>
    <xf numFmtId="14" fontId="3" fillId="0" borderId="7" xfId="0" applyNumberFormat="1" applyFont="1" applyFill="1" applyBorder="1" applyAlignment="1">
      <alignment vertical="center" wrapText="1"/>
    </xf>
    <xf numFmtId="0" fontId="0" fillId="0" borderId="2" xfId="0" applyFill="1" applyBorder="1" applyAlignment="1">
      <alignment horizontal="left" vertical="top" wrapText="1"/>
    </xf>
    <xf numFmtId="14" fontId="0" fillId="0" borderId="2" xfId="0" applyNumberForma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4" fontId="0" fillId="0" borderId="2" xfId="0" applyNumberForma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14" fontId="0" fillId="0" borderId="5" xfId="0" applyNumberFormat="1" applyFill="1" applyBorder="1" applyAlignment="1">
      <alignment horizontal="center" vertical="center"/>
    </xf>
    <xf numFmtId="0" fontId="0" fillId="0" borderId="5" xfId="0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12" fillId="0" borderId="2" xfId="0" applyFont="1" applyFill="1" applyBorder="1" applyAlignment="1">
      <alignment horizontal="center" vertical="center"/>
    </xf>
    <xf numFmtId="0" fontId="15" fillId="0" borderId="2" xfId="0" applyFont="1" applyFill="1" applyBorder="1" applyAlignment="1">
      <alignment horizontal="left" vertical="top" wrapText="1"/>
    </xf>
    <xf numFmtId="9" fontId="1" fillId="0" borderId="2" xfId="1" applyFill="1" applyBorder="1" applyAlignment="1">
      <alignment horizontal="left" vertical="top" wrapText="1"/>
    </xf>
    <xf numFmtId="14" fontId="1" fillId="0" borderId="2" xfId="1" applyNumberForma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9" fontId="1" fillId="0" borderId="2" xfId="1" applyFill="1" applyBorder="1" applyAlignment="1">
      <alignment horizontal="center" vertical="center"/>
    </xf>
    <xf numFmtId="49" fontId="0" fillId="0" borderId="2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49" fontId="1" fillId="0" borderId="2" xfId="1" applyNumberFormat="1" applyFill="1" applyBorder="1" applyAlignment="1">
      <alignment horizontal="center" vertical="center"/>
    </xf>
    <xf numFmtId="1" fontId="1" fillId="0" borderId="2" xfId="1" applyNumberForma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left" vertical="top" wrapText="1"/>
    </xf>
    <xf numFmtId="0" fontId="17" fillId="0" borderId="2" xfId="0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left" vertical="top" wrapText="1"/>
    </xf>
    <xf numFmtId="9" fontId="8" fillId="0" borderId="2" xfId="1" applyFont="1" applyFill="1" applyBorder="1" applyAlignment="1">
      <alignment horizontal="left" vertical="top" wrapText="1"/>
    </xf>
    <xf numFmtId="9" fontId="3" fillId="0" borderId="2" xfId="1" applyFont="1" applyFill="1" applyBorder="1" applyAlignment="1">
      <alignment horizontal="left" vertical="top" wrapText="1"/>
    </xf>
    <xf numFmtId="14" fontId="3" fillId="0" borderId="2" xfId="1" applyNumberFormat="1" applyFont="1" applyFill="1" applyBorder="1" applyAlignment="1">
      <alignment horizontal="center" vertical="center"/>
    </xf>
    <xf numFmtId="9" fontId="3" fillId="0" borderId="2" xfId="1" applyFont="1" applyFill="1" applyBorder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1" fontId="3" fillId="0" borderId="2" xfId="1" applyNumberFormat="1" applyFont="1" applyFill="1" applyBorder="1" applyAlignment="1">
      <alignment horizontal="center" vertical="center"/>
    </xf>
    <xf numFmtId="0" fontId="17" fillId="0" borderId="5" xfId="0" applyFont="1" applyFill="1" applyBorder="1" applyAlignment="1">
      <alignment horizontal="center" vertical="center"/>
    </xf>
    <xf numFmtId="0" fontId="0" fillId="0" borderId="2" xfId="0" applyNumberFormat="1" applyFill="1" applyBorder="1" applyAlignment="1">
      <alignment horizontal="center" vertical="center"/>
    </xf>
    <xf numFmtId="0" fontId="0" fillId="0" borderId="10" xfId="0" applyFill="1" applyBorder="1" applyAlignment="1">
      <alignment horizontal="left" vertical="center" wrapText="1"/>
    </xf>
    <xf numFmtId="0" fontId="0" fillId="0" borderId="9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left" vertical="center" wrapText="1"/>
    </xf>
    <xf numFmtId="14" fontId="0" fillId="0" borderId="10" xfId="0" applyNumberFormat="1" applyFill="1" applyBorder="1" applyAlignment="1">
      <alignment horizontal="left" vertical="center" wrapText="1"/>
    </xf>
    <xf numFmtId="0" fontId="9" fillId="0" borderId="9" xfId="0" applyFont="1" applyFill="1" applyBorder="1" applyAlignment="1">
      <alignment horizontal="left" vertical="center" wrapText="1"/>
    </xf>
    <xf numFmtId="0" fontId="2" fillId="0" borderId="9" xfId="0" applyFont="1" applyFill="1" applyBorder="1" applyAlignment="1">
      <alignment horizontal="left" vertical="center" wrapText="1"/>
    </xf>
    <xf numFmtId="0" fontId="13" fillId="0" borderId="9" xfId="0" applyFont="1" applyFill="1" applyBorder="1" applyAlignment="1">
      <alignment horizontal="left" vertical="center" wrapText="1"/>
    </xf>
    <xf numFmtId="0" fontId="14" fillId="0" borderId="9" xfId="0" applyFont="1" applyFill="1" applyBorder="1" applyAlignment="1">
      <alignment horizontal="left" vertical="center" wrapText="1"/>
    </xf>
    <xf numFmtId="9" fontId="1" fillId="0" borderId="9" xfId="1" applyFill="1" applyBorder="1" applyAlignment="1">
      <alignment horizontal="left" vertical="center" wrapText="1"/>
    </xf>
    <xf numFmtId="0" fontId="3" fillId="0" borderId="9" xfId="0" applyFont="1" applyFill="1" applyBorder="1" applyAlignment="1">
      <alignment horizontal="left" vertical="center" wrapText="1"/>
    </xf>
    <xf numFmtId="9" fontId="3" fillId="0" borderId="9" xfId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horizontal="left" vertical="center" wrapText="1"/>
    </xf>
    <xf numFmtId="0" fontId="0" fillId="0" borderId="5" xfId="0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left" vertical="center" wrapText="1"/>
    </xf>
    <xf numFmtId="0" fontId="0" fillId="0" borderId="3" xfId="0" applyFill="1" applyBorder="1" applyAlignment="1">
      <alignment horizontal="left" vertical="center" wrapText="1"/>
    </xf>
    <xf numFmtId="0" fontId="0" fillId="0" borderId="7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left" vertical="center" wrapText="1"/>
    </xf>
    <xf numFmtId="0" fontId="3" fillId="0" borderId="7" xfId="0" applyFont="1" applyFill="1" applyBorder="1" applyAlignment="1">
      <alignment horizontal="left" vertical="center" wrapText="1"/>
    </xf>
    <xf numFmtId="0" fontId="3" fillId="0" borderId="8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0" fillId="0" borderId="2" xfId="0" applyFill="1" applyBorder="1" applyAlignment="1">
      <alignment horizontal="left" vertical="center" wrapText="1"/>
    </xf>
    <xf numFmtId="0" fontId="0" fillId="0" borderId="0" xfId="0" applyFill="1" applyAlignment="1">
      <alignment horizontal="left" wrapText="1"/>
    </xf>
    <xf numFmtId="44" fontId="3" fillId="0" borderId="2" xfId="2" applyFont="1" applyFill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/>
    </xf>
    <xf numFmtId="14" fontId="3" fillId="0" borderId="2" xfId="0" applyNumberFormat="1" applyFont="1" applyFill="1" applyBorder="1" applyAlignment="1">
      <alignment horizontal="center"/>
    </xf>
    <xf numFmtId="0" fontId="3" fillId="0" borderId="2" xfId="0" applyFont="1" applyFill="1" applyBorder="1"/>
    <xf numFmtId="0" fontId="3" fillId="0" borderId="2" xfId="0" applyFont="1" applyFill="1" applyBorder="1" applyAlignment="1">
      <alignment vertical="center"/>
    </xf>
    <xf numFmtId="9" fontId="8" fillId="0" borderId="5" xfId="1" applyFont="1" applyFill="1" applyBorder="1" applyAlignment="1">
      <alignment horizontal="left" vertical="top" wrapText="1"/>
    </xf>
    <xf numFmtId="9" fontId="3" fillId="0" borderId="5" xfId="1" applyFont="1" applyFill="1" applyBorder="1" applyAlignment="1">
      <alignment horizontal="left" vertical="top" wrapText="1"/>
    </xf>
    <xf numFmtId="14" fontId="3" fillId="0" borderId="2" xfId="1" applyNumberFormat="1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9" xfId="0" applyFont="1" applyFill="1" applyBorder="1" applyAlignment="1">
      <alignment horizontal="center" vertical="center" wrapText="1"/>
    </xf>
    <xf numFmtId="0" fontId="3" fillId="0" borderId="5" xfId="0" applyFont="1" applyFill="1" applyBorder="1" applyAlignment="1">
      <alignment horizontal="center" vertical="center" wrapText="1"/>
    </xf>
    <xf numFmtId="0" fontId="3" fillId="0" borderId="10" xfId="0" applyFont="1" applyFill="1" applyBorder="1" applyAlignment="1">
      <alignment horizontal="center" vertical="center" wrapText="1"/>
    </xf>
    <xf numFmtId="2" fontId="3" fillId="0" borderId="5" xfId="0" applyNumberFormat="1" applyFont="1" applyFill="1" applyBorder="1" applyAlignment="1">
      <alignment horizontal="center" vertical="center"/>
    </xf>
    <xf numFmtId="14" fontId="0" fillId="0" borderId="7" xfId="0" applyNumberForma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14" fontId="0" fillId="0" borderId="8" xfId="0" applyNumberFormat="1" applyFill="1" applyBorder="1" applyAlignment="1">
      <alignment horizontal="center" vertical="center" wrapText="1"/>
    </xf>
    <xf numFmtId="0" fontId="0" fillId="0" borderId="11" xfId="0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 wrapText="1"/>
    </xf>
    <xf numFmtId="0" fontId="0" fillId="0" borderId="9" xfId="0" applyFill="1" applyBorder="1" applyAlignment="1">
      <alignment horizontal="center" vertical="center" wrapText="1"/>
    </xf>
    <xf numFmtId="0" fontId="0" fillId="0" borderId="5" xfId="0" applyNumberForma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8" xfId="0" applyFill="1" applyBorder="1" applyAlignment="1">
      <alignment horizontal="center" vertical="center"/>
    </xf>
    <xf numFmtId="0" fontId="0" fillId="0" borderId="5" xfId="0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top" wrapText="1"/>
    </xf>
    <xf numFmtId="14" fontId="9" fillId="0" borderId="7" xfId="0" applyNumberFormat="1" applyFont="1" applyFill="1" applyBorder="1" applyAlignment="1">
      <alignment horizontal="center" vertical="center" wrapText="1"/>
    </xf>
  </cellXfs>
  <cellStyles count="3">
    <cellStyle name="Monétaire" xfId="2" builtinId="4"/>
    <cellStyle name="Normal" xfId="0" builtinId="0" customBuiltin="1"/>
    <cellStyle name="Pourcentage" xfId="1" builtinId="5" customBuiltin="1"/>
  </cellStyles>
  <dxfs count="14"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 outline="0">
        <left style="medium">
          <color rgb="FF000000"/>
        </left>
        <right/>
        <top style="medium">
          <color rgb="FF000000"/>
        </top>
        <bottom style="medium">
          <color rgb="FF000000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/>
        <i val="0"/>
      </font>
      <fill>
        <patternFill>
          <bgColor theme="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au avec en-tête" pivot="0" count="2" xr9:uid="{8F78B536-8A89-43DD-816E-04CDF0528207}">
      <tableStyleElement type="wholeTable" dxfId="13"/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microsoft.com/office/2007/relationships/slicerCache" Target="slicerCaches/slicerCache2.xml"/><Relationship Id="rId7" Type="http://schemas.openxmlformats.org/officeDocument/2006/relationships/calcChain" Target="calcChain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6</xdr:col>
      <xdr:colOff>500420</xdr:colOff>
      <xdr:row>4</xdr:row>
      <xdr:rowOff>10026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Destinataire   1">
              <a:extLst>
                <a:ext uri="{FF2B5EF4-FFF2-40B4-BE49-F238E27FC236}">
                  <a16:creationId xmlns:a16="http://schemas.microsoft.com/office/drawing/2014/main" id="{81D329D1-F51E-7C27-5BBC-18AEE09724A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stinataire  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"/>
              <a:ext cx="13926910" cy="6718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  <xdr:twoCellAnchor editAs="absolute">
    <xdr:from>
      <xdr:col>6</xdr:col>
      <xdr:colOff>497699</xdr:colOff>
      <xdr:row>0</xdr:row>
      <xdr:rowOff>1</xdr:rowOff>
    </xdr:from>
    <xdr:to>
      <xdr:col>7</xdr:col>
      <xdr:colOff>855854</xdr:colOff>
      <xdr:row>3</xdr:row>
      <xdr:rowOff>136072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Réalisations 1">
              <a:extLst>
                <a:ext uri="{FF2B5EF4-FFF2-40B4-BE49-F238E27FC236}">
                  <a16:creationId xmlns:a16="http://schemas.microsoft.com/office/drawing/2014/main" id="{7510B81E-0557-E046-D0D6-DEF689312E8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éalisations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924189" y="1"/>
              <a:ext cx="1821997" cy="67185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 de table. Les segments de table ne sont pas pris en charge dans cette version d’Excel.
En revanche, si la forme a été modifiée dans une version antérieure d’Excel, ou si le classeur a été enregistré dans Excel 2007 ou une version antérieure, vous ne pouvez pas utiliser le segment.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Destinataire1" xr10:uid="{B53FDBB2-5F51-4A4D-9938-B2E7C6B41B38}" sourceName="BDD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Réalisations1" xr10:uid="{D6E7DAE3-9106-4BC4-8110-8BC453DF79B2}" sourceName="Réalisations">
  <extLst>
    <x:ext xmlns:x15="http://schemas.microsoft.com/office/spreadsheetml/2010/11/main" uri="{2F2917AC-EB37-4324-AD4E-5DD8C200BD13}">
      <x15:tableSlicerCache tableId="2" column="7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stinataire   1" xr10:uid="{7D26E338-174F-4A6D-8D67-42EDA689F038}" cache="Segment_Destinataire1" caption="BDD" columnCount="14" rowHeight="241300"/>
  <slicer name="Réalisations 1" xr10:uid="{99CCEFED-F9E8-4B22-9521-3D45CD4FE5AA}" cache="Segment_Réalisations1" caption="Réalisations" startItem="316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2E9D0A-C3C8-4803-8E6E-3F0751EC02BE}" name="Tableau2" displayName="Tableau2" ref="A5:H551" totalsRowShown="0" headerRowDxfId="11" dataDxfId="9" headerRowBorderDxfId="10" tableBorderDxfId="8">
  <autoFilter ref="A5:H551" xr:uid="{D62E9D0A-C3C8-4803-8E6E-3F0751EC02BE}">
    <filterColumn colId="0">
      <filters>
        <filter val="PED"/>
      </filters>
    </filterColumn>
  </autoFilter>
  <tableColumns count="8">
    <tableColumn id="1" xr3:uid="{876409EF-D121-4865-B16E-7EF07480CDB1}" name="BDD" dataDxfId="7"/>
    <tableColumn id="2" xr3:uid="{4BF48F41-A2AC-4948-819F-D5130F84BB54}" name="14-THT-3D" dataDxfId="6"/>
    <tableColumn id="3" xr3:uid="{A21A07F4-E71D-43E3-BC91-860D3381FBA8}" name="Type de données " dataDxfId="5"/>
    <tableColumn id="4" xr3:uid="{87CCDBBF-E964-49EC-9832-DA6411459843}" name="16/02/2025" dataDxfId="4"/>
    <tableColumn id="5" xr3:uid="{8A93DC31-1C85-4E93-808F-256A9973884B}" name="source de données" dataDxfId="3"/>
    <tableColumn id="6" xr3:uid="{951B5C4F-0D8D-4648-B643-E84C53911932}" name="Capacité en Gb" dataDxfId="2"/>
    <tableColumn id="7" xr3:uid="{9BCF6FC9-086E-49BC-963F-62B98A359477}" name="Réalisations" dataDxfId="1"/>
    <tableColumn id="8" xr3:uid="{D6E9074D-191F-4BDC-98D6-1DCF52B4330B}" name="Remarque" dataDxfId="0"/>
  </tableColumns>
  <tableStyleInfo name="Tableau avec en-tête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551"/>
  <sheetViews>
    <sheetView tabSelected="1" zoomScaleNormal="100" workbookViewId="0">
      <pane xSplit="1" ySplit="5" topLeftCell="B460" activePane="bottomRight" state="frozen"/>
      <selection pane="topRight" activeCell="B1" sqref="B1"/>
      <selection pane="bottomLeft" activeCell="A6" sqref="A6"/>
      <selection pane="bottomRight" activeCell="F551" sqref="F551"/>
    </sheetView>
  </sheetViews>
  <sheetFormatPr baseColWidth="10" defaultRowHeight="14.25" x14ac:dyDescent="0.2"/>
  <cols>
    <col min="1" max="1" width="26.125" customWidth="1"/>
    <col min="2" max="2" width="44.25" customWidth="1"/>
    <col min="3" max="3" width="32.375" customWidth="1"/>
    <col min="4" max="4" width="24.75" bestFit="1" customWidth="1"/>
    <col min="5" max="5" width="26.25" bestFit="1" customWidth="1"/>
    <col min="6" max="6" width="22.5" bestFit="1" customWidth="1"/>
    <col min="7" max="7" width="19.25" bestFit="1" customWidth="1"/>
    <col min="8" max="8" width="36.875" customWidth="1"/>
    <col min="9" max="9" width="11" customWidth="1"/>
    <col min="13" max="13" width="13.75" bestFit="1" customWidth="1"/>
  </cols>
  <sheetData>
    <row r="4" spans="1:15" ht="32.25" customHeight="1" x14ac:dyDescent="0.2"/>
    <row r="5" spans="1:15" ht="15.75" thickBot="1" x14ac:dyDescent="0.25">
      <c r="A5" s="5" t="s">
        <v>11</v>
      </c>
      <c r="B5" s="13" t="s">
        <v>864</v>
      </c>
      <c r="C5" s="5" t="s">
        <v>0</v>
      </c>
      <c r="D5" s="107" t="s">
        <v>870</v>
      </c>
      <c r="E5" s="5" t="s">
        <v>1</v>
      </c>
      <c r="F5" s="5" t="s">
        <v>2</v>
      </c>
      <c r="G5" s="5" t="s">
        <v>28</v>
      </c>
      <c r="H5" s="6" t="s">
        <v>129</v>
      </c>
    </row>
    <row r="6" spans="1:15" ht="120.75" thickBot="1" x14ac:dyDescent="0.25">
      <c r="A6" s="14" t="s">
        <v>6</v>
      </c>
      <c r="B6" s="49" t="s">
        <v>4</v>
      </c>
      <c r="C6" s="72" t="s">
        <v>5</v>
      </c>
      <c r="D6" s="15">
        <v>44822</v>
      </c>
      <c r="E6" s="15"/>
      <c r="F6" s="16">
        <v>16.2</v>
      </c>
      <c r="G6" s="15">
        <v>44853</v>
      </c>
      <c r="H6" s="60"/>
    </row>
    <row r="7" spans="1:15" ht="120.75" thickBot="1" x14ac:dyDescent="0.25">
      <c r="A7" s="14" t="s">
        <v>6</v>
      </c>
      <c r="B7" s="49" t="s">
        <v>4</v>
      </c>
      <c r="C7" s="72" t="s">
        <v>5</v>
      </c>
      <c r="D7" s="15">
        <v>44823</v>
      </c>
      <c r="E7" s="15"/>
      <c r="F7" s="16">
        <v>17.2</v>
      </c>
      <c r="G7" s="15">
        <v>44854</v>
      </c>
      <c r="H7" s="60"/>
    </row>
    <row r="8" spans="1:15" ht="16.5" thickBot="1" x14ac:dyDescent="0.25">
      <c r="A8" s="14" t="s">
        <v>6</v>
      </c>
      <c r="B8" s="73" t="s">
        <v>7</v>
      </c>
      <c r="C8" s="74" t="s">
        <v>8</v>
      </c>
      <c r="D8" s="17">
        <v>44826</v>
      </c>
      <c r="E8" s="18"/>
      <c r="F8" s="19">
        <v>4.2000000000000003E-2</v>
      </c>
      <c r="G8" s="20">
        <v>44617</v>
      </c>
      <c r="H8" s="61"/>
    </row>
    <row r="9" spans="1:15" ht="15" hidden="1" thickBot="1" x14ac:dyDescent="0.25">
      <c r="A9" s="21" t="s">
        <v>11</v>
      </c>
      <c r="B9" s="75" t="s">
        <v>9</v>
      </c>
      <c r="C9" s="76" t="s">
        <v>10</v>
      </c>
      <c r="D9" s="22">
        <v>44829</v>
      </c>
      <c r="E9" s="23"/>
      <c r="F9" s="24">
        <v>5.0000000000000001E-3</v>
      </c>
      <c r="G9" s="25">
        <v>44620</v>
      </c>
      <c r="H9" s="62"/>
      <c r="M9" t="s">
        <v>3</v>
      </c>
    </row>
    <row r="10" spans="1:15" ht="15" hidden="1" thickBot="1" x14ac:dyDescent="0.25">
      <c r="A10" s="21" t="s">
        <v>132</v>
      </c>
      <c r="B10" s="75" t="s">
        <v>12</v>
      </c>
      <c r="C10" s="76" t="s">
        <v>13</v>
      </c>
      <c r="D10" s="22">
        <v>44828</v>
      </c>
      <c r="E10" s="23"/>
      <c r="F10" s="24">
        <v>7500</v>
      </c>
      <c r="G10" s="25">
        <v>44831</v>
      </c>
      <c r="H10" s="62"/>
      <c r="M10">
        <v>0.84</v>
      </c>
    </row>
    <row r="11" spans="1:15" ht="30.75" thickBot="1" x14ac:dyDescent="0.25">
      <c r="A11" s="14" t="s">
        <v>6</v>
      </c>
      <c r="B11" s="77" t="s">
        <v>15</v>
      </c>
      <c r="C11" s="76" t="s">
        <v>8</v>
      </c>
      <c r="D11" s="22">
        <v>44832</v>
      </c>
      <c r="E11" s="23"/>
      <c r="F11" s="24">
        <v>4.5</v>
      </c>
      <c r="G11" s="25">
        <v>44833</v>
      </c>
      <c r="H11" s="62"/>
      <c r="M11">
        <v>1.84</v>
      </c>
    </row>
    <row r="12" spans="1:15" ht="15.75" hidden="1" thickBot="1" x14ac:dyDescent="0.25">
      <c r="A12" s="21" t="s">
        <v>18</v>
      </c>
      <c r="B12" s="99" t="s">
        <v>16</v>
      </c>
      <c r="C12" s="21" t="s">
        <v>17</v>
      </c>
      <c r="D12" s="97">
        <v>44832</v>
      </c>
      <c r="E12" s="95"/>
      <c r="F12" s="24">
        <v>1E-3</v>
      </c>
      <c r="G12" s="95">
        <v>44853</v>
      </c>
      <c r="H12" s="98"/>
      <c r="M12">
        <v>1.7</v>
      </c>
    </row>
    <row r="13" spans="1:15" ht="15.75" hidden="1" thickBot="1" x14ac:dyDescent="0.25">
      <c r="A13" s="21" t="s">
        <v>132</v>
      </c>
      <c r="B13" s="77" t="s">
        <v>19</v>
      </c>
      <c r="C13" s="76" t="s">
        <v>20</v>
      </c>
      <c r="D13" s="22">
        <v>44836</v>
      </c>
      <c r="E13" s="23"/>
      <c r="F13" s="24">
        <v>7500</v>
      </c>
      <c r="G13" s="25">
        <v>44853</v>
      </c>
      <c r="H13" s="62"/>
      <c r="M13">
        <v>1.7</v>
      </c>
    </row>
    <row r="14" spans="1:15" ht="15.75" thickBot="1" x14ac:dyDescent="0.25">
      <c r="A14" s="14" t="s">
        <v>6</v>
      </c>
      <c r="B14" s="77" t="s">
        <v>21</v>
      </c>
      <c r="C14" s="76" t="s">
        <v>20</v>
      </c>
      <c r="D14" s="22">
        <v>44837</v>
      </c>
      <c r="E14" s="23"/>
      <c r="F14" s="24">
        <v>820</v>
      </c>
      <c r="G14" s="25">
        <v>44853</v>
      </c>
      <c r="H14" s="62"/>
      <c r="M14">
        <v>3.6</v>
      </c>
    </row>
    <row r="15" spans="1:15" ht="15.75" hidden="1" thickBot="1" x14ac:dyDescent="0.25">
      <c r="A15" s="21" t="s">
        <v>18</v>
      </c>
      <c r="B15" s="99" t="s">
        <v>22</v>
      </c>
      <c r="C15" s="21" t="s">
        <v>23</v>
      </c>
      <c r="D15" s="97">
        <v>44837</v>
      </c>
      <c r="E15" s="95"/>
      <c r="F15" s="24">
        <v>0.4</v>
      </c>
      <c r="G15" s="95">
        <v>44853</v>
      </c>
      <c r="H15" s="98"/>
      <c r="M15">
        <v>0.89</v>
      </c>
    </row>
    <row r="16" spans="1:15" ht="29.25" thickBot="1" x14ac:dyDescent="0.25">
      <c r="A16" s="14" t="s">
        <v>6</v>
      </c>
      <c r="B16" s="77" t="s">
        <v>24</v>
      </c>
      <c r="C16" s="76" t="s">
        <v>25</v>
      </c>
      <c r="D16" s="22">
        <v>44837</v>
      </c>
      <c r="E16" s="23"/>
      <c r="F16" s="24">
        <v>30</v>
      </c>
      <c r="G16" s="25">
        <v>44853</v>
      </c>
      <c r="H16" s="62"/>
      <c r="M16">
        <v>0.87</v>
      </c>
      <c r="O16" s="1"/>
    </row>
    <row r="17" spans="1:13" ht="15.75" hidden="1" thickBot="1" x14ac:dyDescent="0.25">
      <c r="A17" s="21" t="s">
        <v>132</v>
      </c>
      <c r="B17" s="77" t="s">
        <v>26</v>
      </c>
      <c r="C17" s="76" t="s">
        <v>27</v>
      </c>
      <c r="D17" s="22">
        <v>44838</v>
      </c>
      <c r="E17" s="23"/>
      <c r="F17" s="24">
        <v>540</v>
      </c>
      <c r="G17" s="25">
        <v>44853</v>
      </c>
      <c r="H17" s="62"/>
      <c r="M17">
        <v>1.6</v>
      </c>
    </row>
    <row r="18" spans="1:13" ht="15.75" thickBot="1" x14ac:dyDescent="0.25">
      <c r="A18" s="14" t="s">
        <v>6</v>
      </c>
      <c r="B18" s="77" t="s">
        <v>29</v>
      </c>
      <c r="C18" s="78" t="s">
        <v>30</v>
      </c>
      <c r="D18" s="97">
        <v>44844</v>
      </c>
      <c r="E18" s="23"/>
      <c r="F18" s="24">
        <v>45</v>
      </c>
      <c r="G18" s="95">
        <v>44853</v>
      </c>
      <c r="H18" s="62"/>
      <c r="M18">
        <v>3.62</v>
      </c>
    </row>
    <row r="19" spans="1:13" ht="15.75" thickBot="1" x14ac:dyDescent="0.25">
      <c r="A19" s="14" t="s">
        <v>6</v>
      </c>
      <c r="B19" s="79" t="s">
        <v>31</v>
      </c>
      <c r="C19" s="79" t="s">
        <v>32</v>
      </c>
      <c r="D19" s="20">
        <v>44844</v>
      </c>
      <c r="E19" s="20"/>
      <c r="F19" s="19" t="s">
        <v>33</v>
      </c>
      <c r="G19" s="20">
        <v>44853</v>
      </c>
      <c r="H19" s="61"/>
      <c r="M19">
        <v>3.4</v>
      </c>
    </row>
    <row r="20" spans="1:13" ht="15" hidden="1" thickBot="1" x14ac:dyDescent="0.25">
      <c r="A20" s="21" t="s">
        <v>11</v>
      </c>
      <c r="B20" s="75" t="s">
        <v>34</v>
      </c>
      <c r="C20" s="76" t="s">
        <v>5</v>
      </c>
      <c r="D20" s="22">
        <v>44844</v>
      </c>
      <c r="E20" s="23"/>
      <c r="F20" s="24">
        <v>22</v>
      </c>
      <c r="G20" s="25">
        <v>44849</v>
      </c>
      <c r="H20" s="62"/>
      <c r="M20">
        <v>1.34</v>
      </c>
    </row>
    <row r="21" spans="1:13" ht="15" hidden="1" thickBot="1" x14ac:dyDescent="0.25">
      <c r="A21" s="21" t="s">
        <v>132</v>
      </c>
      <c r="B21" s="75" t="s">
        <v>35</v>
      </c>
      <c r="C21" s="76" t="s">
        <v>36</v>
      </c>
      <c r="D21" s="22">
        <v>44845</v>
      </c>
      <c r="E21" s="23"/>
      <c r="F21" s="24">
        <v>8800</v>
      </c>
      <c r="G21" s="25">
        <v>44845</v>
      </c>
      <c r="H21" s="62"/>
      <c r="M21">
        <v>3.1</v>
      </c>
    </row>
    <row r="22" spans="1:13" ht="15" hidden="1" thickBot="1" x14ac:dyDescent="0.25">
      <c r="A22" s="21" t="s">
        <v>723</v>
      </c>
      <c r="B22" s="75" t="s">
        <v>37</v>
      </c>
      <c r="C22" s="76" t="s">
        <v>10</v>
      </c>
      <c r="D22" s="22">
        <v>44847</v>
      </c>
      <c r="E22" s="23"/>
      <c r="F22" s="24">
        <v>0.35</v>
      </c>
      <c r="G22" s="25">
        <v>44853</v>
      </c>
      <c r="H22" s="62"/>
      <c r="M22">
        <v>3.1</v>
      </c>
    </row>
    <row r="23" spans="1:13" ht="29.25" thickBot="1" x14ac:dyDescent="0.25">
      <c r="A23" s="14" t="s">
        <v>6</v>
      </c>
      <c r="B23" s="79" t="s">
        <v>38</v>
      </c>
      <c r="C23" s="80" t="s">
        <v>39</v>
      </c>
      <c r="D23" s="20">
        <v>44850</v>
      </c>
      <c r="E23" s="20"/>
      <c r="F23" s="19">
        <v>1.2</v>
      </c>
      <c r="G23" s="20">
        <v>44853</v>
      </c>
      <c r="H23" s="61"/>
      <c r="M23">
        <v>0.05</v>
      </c>
    </row>
    <row r="24" spans="1:13" ht="90.75" thickBot="1" x14ac:dyDescent="0.3">
      <c r="A24" s="14" t="s">
        <v>6</v>
      </c>
      <c r="B24" s="75" t="s">
        <v>40</v>
      </c>
      <c r="C24" s="76" t="s">
        <v>39</v>
      </c>
      <c r="D24" s="22">
        <v>44850</v>
      </c>
      <c r="E24" s="23" t="s">
        <v>59</v>
      </c>
      <c r="F24" s="24">
        <v>6</v>
      </c>
      <c r="G24" s="25">
        <v>44853</v>
      </c>
      <c r="H24" s="62"/>
      <c r="M24" s="2">
        <f>SUM(M10:M23)</f>
        <v>27.650000000000002</v>
      </c>
    </row>
    <row r="25" spans="1:13" ht="15" thickBot="1" x14ac:dyDescent="0.25">
      <c r="A25" s="14" t="s">
        <v>6</v>
      </c>
      <c r="B25" s="75" t="s">
        <v>41</v>
      </c>
      <c r="C25" s="76" t="s">
        <v>42</v>
      </c>
      <c r="D25" s="22">
        <v>44853</v>
      </c>
      <c r="E25" s="23"/>
      <c r="F25" s="24">
        <v>3.5</v>
      </c>
      <c r="G25" s="25">
        <v>44854</v>
      </c>
      <c r="H25" s="62"/>
    </row>
    <row r="26" spans="1:13" ht="29.25" hidden="1" thickBot="1" x14ac:dyDescent="0.25">
      <c r="A26" s="21" t="s">
        <v>44</v>
      </c>
      <c r="B26" s="96" t="s">
        <v>43</v>
      </c>
      <c r="C26" s="21" t="s">
        <v>10</v>
      </c>
      <c r="D26" s="97">
        <v>45222</v>
      </c>
      <c r="E26" s="95" t="s">
        <v>59</v>
      </c>
      <c r="F26" s="24">
        <v>135</v>
      </c>
      <c r="G26" s="95">
        <v>44865</v>
      </c>
      <c r="H26" s="98"/>
    </row>
    <row r="27" spans="1:13" ht="29.25" thickBot="1" x14ac:dyDescent="0.25">
      <c r="A27" s="14" t="s">
        <v>6</v>
      </c>
      <c r="B27" s="75" t="s">
        <v>45</v>
      </c>
      <c r="C27" s="76" t="s">
        <v>46</v>
      </c>
      <c r="D27" s="27">
        <v>44858</v>
      </c>
      <c r="E27" s="28"/>
      <c r="F27" s="24">
        <v>50</v>
      </c>
      <c r="G27" s="29">
        <v>44864</v>
      </c>
      <c r="H27" s="62"/>
    </row>
    <row r="28" spans="1:13" ht="15.75" hidden="1" thickBot="1" x14ac:dyDescent="0.25">
      <c r="A28" s="21" t="s">
        <v>700</v>
      </c>
      <c r="B28" s="75" t="s">
        <v>47</v>
      </c>
      <c r="C28" s="76" t="s">
        <v>48</v>
      </c>
      <c r="D28" s="22">
        <v>44859</v>
      </c>
      <c r="E28" s="23"/>
      <c r="F28" s="24">
        <v>0.1</v>
      </c>
      <c r="G28" s="29">
        <v>44864</v>
      </c>
      <c r="H28" s="62"/>
    </row>
    <row r="29" spans="1:13" ht="30.75" thickBot="1" x14ac:dyDescent="0.25">
      <c r="A29" s="14" t="s">
        <v>6</v>
      </c>
      <c r="B29" s="79" t="s">
        <v>49</v>
      </c>
      <c r="C29" s="79" t="s">
        <v>50</v>
      </c>
      <c r="D29" s="20">
        <v>44861</v>
      </c>
      <c r="E29" s="25"/>
      <c r="F29" s="24">
        <v>15.3</v>
      </c>
      <c r="G29" s="29">
        <v>44868</v>
      </c>
      <c r="H29" s="61"/>
    </row>
    <row r="30" spans="1:13" ht="15" hidden="1" thickBot="1" x14ac:dyDescent="0.25">
      <c r="A30" s="21" t="s">
        <v>723</v>
      </c>
      <c r="B30" s="30" t="s">
        <v>51</v>
      </c>
      <c r="C30" s="30" t="s">
        <v>52</v>
      </c>
      <c r="D30" s="31">
        <v>44851</v>
      </c>
      <c r="E30" s="32"/>
      <c r="F30" s="32">
        <v>0.08</v>
      </c>
      <c r="G30" s="31">
        <v>44851</v>
      </c>
      <c r="H30" s="61"/>
    </row>
    <row r="31" spans="1:13" ht="15" thickBot="1" x14ac:dyDescent="0.25">
      <c r="A31" s="14" t="s">
        <v>6</v>
      </c>
      <c r="B31" s="30" t="s">
        <v>53</v>
      </c>
      <c r="C31" s="30" t="s">
        <v>54</v>
      </c>
      <c r="D31" s="33">
        <v>44853</v>
      </c>
      <c r="E31" s="32"/>
      <c r="F31" s="32">
        <v>0.65</v>
      </c>
      <c r="G31" s="31">
        <v>44854</v>
      </c>
      <c r="H31" s="61"/>
    </row>
    <row r="32" spans="1:13" ht="15" hidden="1" thickBot="1" x14ac:dyDescent="0.25">
      <c r="A32" s="32" t="s">
        <v>699</v>
      </c>
      <c r="B32" s="30" t="s">
        <v>55</v>
      </c>
      <c r="C32" s="30" t="s">
        <v>56</v>
      </c>
      <c r="D32" s="31">
        <v>44857</v>
      </c>
      <c r="E32" s="32"/>
      <c r="F32" s="32">
        <v>0.02</v>
      </c>
      <c r="G32" s="31">
        <v>44857</v>
      </c>
      <c r="H32" s="61"/>
    </row>
    <row r="33" spans="1:8" ht="15" hidden="1" thickBot="1" x14ac:dyDescent="0.25">
      <c r="A33" s="21" t="s">
        <v>700</v>
      </c>
      <c r="B33" s="30" t="s">
        <v>57</v>
      </c>
      <c r="C33" s="30" t="s">
        <v>58</v>
      </c>
      <c r="D33" s="31">
        <v>44858</v>
      </c>
      <c r="E33" s="32" t="s">
        <v>59</v>
      </c>
      <c r="F33" s="32">
        <v>1.2E-2</v>
      </c>
      <c r="G33" s="31">
        <v>44858</v>
      </c>
      <c r="H33" s="61"/>
    </row>
    <row r="34" spans="1:8" ht="15" hidden="1" thickBot="1" x14ac:dyDescent="0.25">
      <c r="A34" s="32" t="s">
        <v>62</v>
      </c>
      <c r="B34" s="30" t="s">
        <v>60</v>
      </c>
      <c r="C34" s="30" t="s">
        <v>61</v>
      </c>
      <c r="D34" s="31">
        <v>44867</v>
      </c>
      <c r="E34" s="32" t="s">
        <v>59</v>
      </c>
      <c r="F34" s="32">
        <v>4000</v>
      </c>
      <c r="G34" s="31">
        <v>44867</v>
      </c>
      <c r="H34" s="61"/>
    </row>
    <row r="35" spans="1:8" ht="15" hidden="1" thickBot="1" x14ac:dyDescent="0.25">
      <c r="A35" s="32" t="s">
        <v>62</v>
      </c>
      <c r="B35" s="30" t="s">
        <v>60</v>
      </c>
      <c r="C35" s="30" t="s">
        <v>61</v>
      </c>
      <c r="D35" s="31">
        <v>44867</v>
      </c>
      <c r="E35" s="32" t="s">
        <v>59</v>
      </c>
      <c r="F35" s="32" t="s">
        <v>63</v>
      </c>
      <c r="G35" s="31">
        <v>44867</v>
      </c>
      <c r="H35" s="61"/>
    </row>
    <row r="36" spans="1:8" ht="15" hidden="1" thickBot="1" x14ac:dyDescent="0.25">
      <c r="A36" s="21" t="s">
        <v>700</v>
      </c>
      <c r="B36" s="30" t="s">
        <v>64</v>
      </c>
      <c r="C36" s="30" t="s">
        <v>61</v>
      </c>
      <c r="D36" s="31">
        <v>44867</v>
      </c>
      <c r="E36" s="32" t="s">
        <v>59</v>
      </c>
      <c r="F36" s="32">
        <v>470</v>
      </c>
      <c r="G36" s="31">
        <v>44867</v>
      </c>
      <c r="H36" s="61"/>
    </row>
    <row r="37" spans="1:8" s="3" customFormat="1" ht="24" hidden="1" thickBot="1" x14ac:dyDescent="0.4">
      <c r="A37" s="32" t="s">
        <v>67</v>
      </c>
      <c r="B37" s="30" t="s">
        <v>65</v>
      </c>
      <c r="C37" s="30" t="s">
        <v>66</v>
      </c>
      <c r="D37" s="31">
        <v>44871</v>
      </c>
      <c r="E37" s="32" t="s">
        <v>59</v>
      </c>
      <c r="F37" s="32">
        <v>30</v>
      </c>
      <c r="G37" s="31">
        <v>44872</v>
      </c>
      <c r="H37" s="61"/>
    </row>
    <row r="38" spans="1:8" s="3" customFormat="1" ht="24" thickBot="1" x14ac:dyDescent="0.4">
      <c r="A38" s="14" t="s">
        <v>6</v>
      </c>
      <c r="B38" s="30" t="s">
        <v>68</v>
      </c>
      <c r="C38" s="30" t="s">
        <v>54</v>
      </c>
      <c r="D38" s="31">
        <v>44872</v>
      </c>
      <c r="E38" s="32" t="s">
        <v>59</v>
      </c>
      <c r="F38" s="32" t="s">
        <v>69</v>
      </c>
      <c r="G38" s="31">
        <f>Tableau2[[#This Row],[16/02/2025]]</f>
        <v>44872</v>
      </c>
      <c r="H38" s="61"/>
    </row>
    <row r="39" spans="1:8" s="3" customFormat="1" ht="24" hidden="1" thickBot="1" x14ac:dyDescent="0.4">
      <c r="A39" s="32" t="s">
        <v>67</v>
      </c>
      <c r="B39" s="81" t="s">
        <v>70</v>
      </c>
      <c r="C39" s="30" t="s">
        <v>71</v>
      </c>
      <c r="D39" s="31">
        <v>44874</v>
      </c>
      <c r="E39" s="32" t="s">
        <v>72</v>
      </c>
      <c r="F39" s="32" t="s">
        <v>73</v>
      </c>
      <c r="G39" s="31">
        <v>44889</v>
      </c>
      <c r="H39" s="61"/>
    </row>
    <row r="40" spans="1:8" s="3" customFormat="1" ht="24" hidden="1" thickBot="1" x14ac:dyDescent="0.4">
      <c r="A40" s="21" t="s">
        <v>132</v>
      </c>
      <c r="B40" s="30" t="s">
        <v>74</v>
      </c>
      <c r="C40" s="30" t="s">
        <v>75</v>
      </c>
      <c r="D40" s="31">
        <v>44874</v>
      </c>
      <c r="E40" s="32" t="s">
        <v>59</v>
      </c>
      <c r="F40" s="32">
        <v>210</v>
      </c>
      <c r="G40" s="31">
        <v>44875</v>
      </c>
      <c r="H40" s="61"/>
    </row>
    <row r="41" spans="1:8" s="3" customFormat="1" ht="24" hidden="1" thickBot="1" x14ac:dyDescent="0.4">
      <c r="A41" s="32" t="s">
        <v>701</v>
      </c>
      <c r="B41" s="30" t="s">
        <v>76</v>
      </c>
      <c r="C41" s="30" t="s">
        <v>77</v>
      </c>
      <c r="D41" s="31">
        <v>44875</v>
      </c>
      <c r="E41" s="32" t="s">
        <v>59</v>
      </c>
      <c r="F41" s="32">
        <v>4</v>
      </c>
      <c r="G41" s="31">
        <v>44882</v>
      </c>
      <c r="H41" s="61"/>
    </row>
    <row r="42" spans="1:8" s="3" customFormat="1" ht="24" hidden="1" thickBot="1" x14ac:dyDescent="0.4">
      <c r="A42" s="21" t="s">
        <v>723</v>
      </c>
      <c r="B42" s="30" t="s">
        <v>78</v>
      </c>
      <c r="C42" s="30" t="s">
        <v>58</v>
      </c>
      <c r="D42" s="31">
        <v>44880</v>
      </c>
      <c r="E42" s="32" t="s">
        <v>59</v>
      </c>
      <c r="F42" s="32">
        <v>4</v>
      </c>
      <c r="G42" s="31">
        <v>44882</v>
      </c>
      <c r="H42" s="61"/>
    </row>
    <row r="43" spans="1:8" s="3" customFormat="1" ht="24" hidden="1" thickBot="1" x14ac:dyDescent="0.4">
      <c r="A43" s="32" t="s">
        <v>67</v>
      </c>
      <c r="B43" s="30" t="s">
        <v>79</v>
      </c>
      <c r="C43" s="30" t="s">
        <v>80</v>
      </c>
      <c r="D43" s="31">
        <v>44885</v>
      </c>
      <c r="E43" s="32" t="s">
        <v>81</v>
      </c>
      <c r="F43" s="32" t="s">
        <v>82</v>
      </c>
      <c r="G43" s="31">
        <v>44888</v>
      </c>
      <c r="H43" s="61"/>
    </row>
    <row r="44" spans="1:8" s="3" customFormat="1" ht="24" thickBot="1" x14ac:dyDescent="0.4">
      <c r="A44" s="14" t="s">
        <v>6</v>
      </c>
      <c r="B44" s="30" t="s">
        <v>83</v>
      </c>
      <c r="C44" s="30" t="s">
        <v>84</v>
      </c>
      <c r="D44" s="31">
        <v>44885</v>
      </c>
      <c r="E44" s="32" t="s">
        <v>85</v>
      </c>
      <c r="F44" s="32">
        <v>0.5</v>
      </c>
      <c r="G44" s="31">
        <v>44885</v>
      </c>
      <c r="H44" s="61"/>
    </row>
    <row r="45" spans="1:8" s="3" customFormat="1" ht="24" thickBot="1" x14ac:dyDescent="0.4">
      <c r="A45" s="14" t="s">
        <v>6</v>
      </c>
      <c r="B45" s="30" t="s">
        <v>86</v>
      </c>
      <c r="C45" s="30" t="s">
        <v>87</v>
      </c>
      <c r="D45" s="31">
        <v>44887</v>
      </c>
      <c r="E45" s="32" t="s">
        <v>88</v>
      </c>
      <c r="F45" s="32">
        <v>0.02</v>
      </c>
      <c r="G45" s="31">
        <v>44888</v>
      </c>
      <c r="H45" s="61"/>
    </row>
    <row r="46" spans="1:8" s="3" customFormat="1" ht="24" thickBot="1" x14ac:dyDescent="0.4">
      <c r="A46" s="14" t="s">
        <v>6</v>
      </c>
      <c r="B46" s="30" t="s">
        <v>89</v>
      </c>
      <c r="C46" s="30" t="s">
        <v>8</v>
      </c>
      <c r="D46" s="31">
        <v>44887</v>
      </c>
      <c r="E46" s="32" t="s">
        <v>88</v>
      </c>
      <c r="F46" s="32">
        <v>3.5</v>
      </c>
      <c r="G46" s="31">
        <v>44891</v>
      </c>
      <c r="H46" s="61"/>
    </row>
    <row r="47" spans="1:8" s="3" customFormat="1" ht="24" thickBot="1" x14ac:dyDescent="0.4">
      <c r="A47" s="14" t="s">
        <v>6</v>
      </c>
      <c r="B47" s="30" t="s">
        <v>90</v>
      </c>
      <c r="C47" s="30" t="s">
        <v>91</v>
      </c>
      <c r="D47" s="31">
        <v>44888</v>
      </c>
      <c r="E47" s="32" t="s">
        <v>59</v>
      </c>
      <c r="F47" s="32">
        <v>278</v>
      </c>
      <c r="G47" s="31">
        <v>44893</v>
      </c>
      <c r="H47" s="61"/>
    </row>
    <row r="48" spans="1:8" s="3" customFormat="1" ht="24" thickBot="1" x14ac:dyDescent="0.4">
      <c r="A48" s="14" t="s">
        <v>6</v>
      </c>
      <c r="B48" s="30" t="s">
        <v>92</v>
      </c>
      <c r="C48" s="30" t="s">
        <v>93</v>
      </c>
      <c r="D48" s="31">
        <v>44888</v>
      </c>
      <c r="E48" s="32" t="s">
        <v>59</v>
      </c>
      <c r="F48" s="32">
        <v>352</v>
      </c>
      <c r="G48" s="31">
        <v>44893</v>
      </c>
      <c r="H48" s="61"/>
    </row>
    <row r="49" spans="1:8" s="3" customFormat="1" ht="29.25" hidden="1" thickBot="1" x14ac:dyDescent="0.4">
      <c r="A49" s="32" t="s">
        <v>67</v>
      </c>
      <c r="B49" s="80" t="s">
        <v>94</v>
      </c>
      <c r="C49" s="30" t="s">
        <v>71</v>
      </c>
      <c r="D49" s="31">
        <v>44893</v>
      </c>
      <c r="E49" s="32" t="s">
        <v>59</v>
      </c>
      <c r="F49" s="32">
        <v>4</v>
      </c>
      <c r="G49" s="31">
        <v>44895</v>
      </c>
      <c r="H49" s="61"/>
    </row>
    <row r="50" spans="1:8" s="3" customFormat="1" ht="24" hidden="1" thickBot="1" x14ac:dyDescent="0.4">
      <c r="A50" s="21" t="s">
        <v>132</v>
      </c>
      <c r="B50" s="30" t="s">
        <v>95</v>
      </c>
      <c r="C50" s="30" t="s">
        <v>96</v>
      </c>
      <c r="D50" s="31">
        <v>44895</v>
      </c>
      <c r="E50" s="32" t="s">
        <v>97</v>
      </c>
      <c r="F50" s="32"/>
      <c r="G50" s="31">
        <f>Tableau2[[#This Row],[16/02/2025]]</f>
        <v>44895</v>
      </c>
      <c r="H50" s="61" t="s">
        <v>97</v>
      </c>
    </row>
    <row r="51" spans="1:8" s="3" customFormat="1" ht="24" hidden="1" thickBot="1" x14ac:dyDescent="0.4">
      <c r="A51" s="32" t="s">
        <v>100</v>
      </c>
      <c r="B51" s="30" t="s">
        <v>98</v>
      </c>
      <c r="C51" s="30" t="s">
        <v>99</v>
      </c>
      <c r="D51" s="31">
        <v>44899</v>
      </c>
      <c r="E51" s="32" t="s">
        <v>101</v>
      </c>
      <c r="F51" s="32">
        <v>0</v>
      </c>
      <c r="G51" s="31">
        <v>44899</v>
      </c>
      <c r="H51" s="61" t="s">
        <v>102</v>
      </c>
    </row>
    <row r="52" spans="1:8" s="3" customFormat="1" ht="24" hidden="1" thickBot="1" x14ac:dyDescent="0.4">
      <c r="A52" s="32" t="s">
        <v>67</v>
      </c>
      <c r="B52" s="30" t="s">
        <v>65</v>
      </c>
      <c r="C52" s="30" t="s">
        <v>103</v>
      </c>
      <c r="D52" s="31">
        <v>44899</v>
      </c>
      <c r="E52" s="32" t="s">
        <v>59</v>
      </c>
      <c r="F52" s="32">
        <v>2</v>
      </c>
      <c r="G52" s="31">
        <v>44900</v>
      </c>
      <c r="H52" s="61"/>
    </row>
    <row r="53" spans="1:8" s="3" customFormat="1" ht="29.25" thickBot="1" x14ac:dyDescent="0.4">
      <c r="A53" s="14" t="s">
        <v>6</v>
      </c>
      <c r="B53" s="30" t="s">
        <v>104</v>
      </c>
      <c r="C53" s="30" t="s">
        <v>105</v>
      </c>
      <c r="D53" s="33"/>
      <c r="E53" s="26" t="s">
        <v>59</v>
      </c>
      <c r="F53" s="26">
        <v>0</v>
      </c>
      <c r="G53" s="33">
        <v>44900</v>
      </c>
      <c r="H53" s="61" t="s">
        <v>106</v>
      </c>
    </row>
    <row r="54" spans="1:8" s="3" customFormat="1" ht="24" hidden="1" thickBot="1" x14ac:dyDescent="0.4">
      <c r="A54" s="21" t="s">
        <v>132</v>
      </c>
      <c r="B54" s="30" t="s">
        <v>107</v>
      </c>
      <c r="C54" s="30" t="s">
        <v>108</v>
      </c>
      <c r="D54" s="31">
        <v>44906</v>
      </c>
      <c r="E54" s="31" t="s">
        <v>109</v>
      </c>
      <c r="F54" s="32">
        <v>0.3</v>
      </c>
      <c r="G54" s="31">
        <v>44907</v>
      </c>
      <c r="H54" s="61"/>
    </row>
    <row r="55" spans="1:8" s="3" customFormat="1" ht="24" hidden="1" thickBot="1" x14ac:dyDescent="0.4">
      <c r="A55" s="32" t="s">
        <v>699</v>
      </c>
      <c r="B55" s="30" t="s">
        <v>110</v>
      </c>
      <c r="C55" s="30" t="s">
        <v>111</v>
      </c>
      <c r="D55" s="31">
        <v>44913</v>
      </c>
      <c r="E55" s="32" t="s">
        <v>112</v>
      </c>
      <c r="F55" s="32">
        <v>1</v>
      </c>
      <c r="G55" s="31">
        <v>44914</v>
      </c>
      <c r="H55" s="61"/>
    </row>
    <row r="56" spans="1:8" s="3" customFormat="1" ht="24" hidden="1" thickBot="1" x14ac:dyDescent="0.4">
      <c r="A56" s="32" t="s">
        <v>699</v>
      </c>
      <c r="B56" s="30" t="s">
        <v>113</v>
      </c>
      <c r="C56" s="30" t="s">
        <v>114</v>
      </c>
      <c r="D56" s="31">
        <v>44915</v>
      </c>
      <c r="E56" s="32" t="s">
        <v>72</v>
      </c>
      <c r="F56" s="32">
        <v>0.9</v>
      </c>
      <c r="G56" s="31">
        <v>44915</v>
      </c>
      <c r="H56" s="61"/>
    </row>
    <row r="57" spans="1:8" s="3" customFormat="1" ht="24" hidden="1" thickBot="1" x14ac:dyDescent="0.4">
      <c r="A57" s="21" t="s">
        <v>723</v>
      </c>
      <c r="B57" s="30" t="s">
        <v>115</v>
      </c>
      <c r="C57" s="30" t="s">
        <v>116</v>
      </c>
      <c r="D57" s="31">
        <v>44914</v>
      </c>
      <c r="E57" s="32" t="s">
        <v>59</v>
      </c>
      <c r="F57" s="32">
        <v>1</v>
      </c>
      <c r="G57" s="31">
        <v>44915</v>
      </c>
      <c r="H57" s="61"/>
    </row>
    <row r="58" spans="1:8" s="3" customFormat="1" ht="24" thickBot="1" x14ac:dyDescent="0.4">
      <c r="A58" s="14" t="s">
        <v>6</v>
      </c>
      <c r="B58" s="30" t="s">
        <v>117</v>
      </c>
      <c r="C58" s="30" t="s">
        <v>118</v>
      </c>
      <c r="D58" s="31">
        <v>44916</v>
      </c>
      <c r="E58" s="32" t="s">
        <v>59</v>
      </c>
      <c r="F58" s="32">
        <v>832</v>
      </c>
      <c r="G58" s="31">
        <f>Tableau2[[#This Row],[16/02/2025]]</f>
        <v>44916</v>
      </c>
      <c r="H58" s="61"/>
    </row>
    <row r="59" spans="1:8" s="3" customFormat="1" ht="43.5" hidden="1" thickBot="1" x14ac:dyDescent="0.4">
      <c r="A59" s="32" t="s">
        <v>701</v>
      </c>
      <c r="B59" s="30" t="s">
        <v>119</v>
      </c>
      <c r="C59" s="80" t="s">
        <v>120</v>
      </c>
      <c r="D59" s="31">
        <v>44920</v>
      </c>
      <c r="E59" s="32" t="s">
        <v>59</v>
      </c>
      <c r="F59" s="32">
        <v>60.2</v>
      </c>
      <c r="G59" s="31">
        <v>44922</v>
      </c>
      <c r="H59" s="61"/>
    </row>
    <row r="60" spans="1:8" s="3" customFormat="1" ht="24" hidden="1" thickBot="1" x14ac:dyDescent="0.4">
      <c r="A60" s="32" t="s">
        <v>67</v>
      </c>
      <c r="B60" s="30" t="s">
        <v>121</v>
      </c>
      <c r="C60" s="30" t="s">
        <v>122</v>
      </c>
      <c r="D60" s="31">
        <v>44921</v>
      </c>
      <c r="E60" s="32" t="s">
        <v>59</v>
      </c>
      <c r="F60" s="32"/>
      <c r="G60" s="31">
        <v>44921</v>
      </c>
      <c r="H60" s="61"/>
    </row>
    <row r="61" spans="1:8" s="3" customFormat="1" ht="24" hidden="1" thickBot="1" x14ac:dyDescent="0.4">
      <c r="A61" s="21" t="s">
        <v>132</v>
      </c>
      <c r="B61" s="30" t="s">
        <v>123</v>
      </c>
      <c r="C61" s="30" t="s">
        <v>124</v>
      </c>
      <c r="D61" s="31">
        <v>44922</v>
      </c>
      <c r="E61" s="32" t="s">
        <v>14</v>
      </c>
      <c r="F61" s="32">
        <v>390</v>
      </c>
      <c r="G61" s="31">
        <v>44923</v>
      </c>
      <c r="H61" s="61"/>
    </row>
    <row r="62" spans="1:8" s="3" customFormat="1" ht="24" hidden="1" thickBot="1" x14ac:dyDescent="0.4">
      <c r="A62" s="21" t="s">
        <v>723</v>
      </c>
      <c r="B62" s="30" t="s">
        <v>125</v>
      </c>
      <c r="C62" s="30" t="s">
        <v>71</v>
      </c>
      <c r="D62" s="31">
        <v>44923</v>
      </c>
      <c r="E62" s="32" t="s">
        <v>59</v>
      </c>
      <c r="F62" s="32"/>
      <c r="G62" s="31">
        <v>44941</v>
      </c>
      <c r="H62" s="61"/>
    </row>
    <row r="63" spans="1:8" s="3" customFormat="1" ht="24" hidden="1" thickBot="1" x14ac:dyDescent="0.4">
      <c r="A63" s="34" t="s">
        <v>67</v>
      </c>
      <c r="B63" s="36" t="s">
        <v>126</v>
      </c>
      <c r="C63" s="36" t="s">
        <v>127</v>
      </c>
      <c r="D63" s="35"/>
      <c r="E63" s="34" t="s">
        <v>59</v>
      </c>
      <c r="F63" s="34">
        <v>0</v>
      </c>
      <c r="G63" s="35">
        <v>44923</v>
      </c>
      <c r="H63" s="63" t="s">
        <v>128</v>
      </c>
    </row>
    <row r="64" spans="1:8" s="3" customFormat="1" ht="24" hidden="1" thickBot="1" x14ac:dyDescent="0.4">
      <c r="A64" s="21" t="s">
        <v>132</v>
      </c>
      <c r="B64" s="30" t="s">
        <v>130</v>
      </c>
      <c r="C64" s="30" t="s">
        <v>131</v>
      </c>
      <c r="D64" s="31">
        <v>44928</v>
      </c>
      <c r="E64" s="32" t="s">
        <v>59</v>
      </c>
      <c r="F64" s="32">
        <v>20</v>
      </c>
      <c r="G64" s="31">
        <v>44929</v>
      </c>
      <c r="H64" s="61"/>
    </row>
    <row r="65" spans="1:8" s="3" customFormat="1" ht="24" hidden="1" thickBot="1" x14ac:dyDescent="0.4">
      <c r="A65" s="21" t="s">
        <v>132</v>
      </c>
      <c r="B65" s="30" t="s">
        <v>133</v>
      </c>
      <c r="C65" s="30" t="s">
        <v>134</v>
      </c>
      <c r="D65" s="31">
        <v>44929</v>
      </c>
      <c r="E65" s="32" t="s">
        <v>59</v>
      </c>
      <c r="F65" s="32">
        <v>965</v>
      </c>
      <c r="G65" s="31">
        <v>44931</v>
      </c>
      <c r="H65" s="61"/>
    </row>
    <row r="66" spans="1:8" s="3" customFormat="1" ht="24" hidden="1" thickBot="1" x14ac:dyDescent="0.4">
      <c r="A66" s="32" t="s">
        <v>67</v>
      </c>
      <c r="B66" s="30" t="s">
        <v>135</v>
      </c>
      <c r="C66" s="30" t="s">
        <v>136</v>
      </c>
      <c r="D66" s="31">
        <v>44934</v>
      </c>
      <c r="E66" s="32" t="s">
        <v>59</v>
      </c>
      <c r="F66" s="32" t="s">
        <v>137</v>
      </c>
      <c r="G66" s="31">
        <v>44936</v>
      </c>
      <c r="H66" s="61" t="s">
        <v>138</v>
      </c>
    </row>
    <row r="67" spans="1:8" s="3" customFormat="1" ht="24" hidden="1" thickBot="1" x14ac:dyDescent="0.4">
      <c r="A67" s="32" t="s">
        <v>67</v>
      </c>
      <c r="B67" s="30" t="s">
        <v>139</v>
      </c>
      <c r="C67" s="30" t="s">
        <v>136</v>
      </c>
      <c r="D67" s="31">
        <v>44936</v>
      </c>
      <c r="E67" s="32" t="s">
        <v>59</v>
      </c>
      <c r="F67" s="32" t="s">
        <v>137</v>
      </c>
      <c r="G67" s="31">
        <v>44951</v>
      </c>
      <c r="H67" s="61" t="s">
        <v>140</v>
      </c>
    </row>
    <row r="68" spans="1:8" ht="15" hidden="1" thickBot="1" x14ac:dyDescent="0.25">
      <c r="A68" s="32" t="s">
        <v>699</v>
      </c>
      <c r="B68" s="30" t="s">
        <v>117</v>
      </c>
      <c r="C68" s="30" t="s">
        <v>141</v>
      </c>
      <c r="D68" s="31">
        <v>44936</v>
      </c>
      <c r="E68" s="32" t="s">
        <v>67</v>
      </c>
      <c r="F68" s="32">
        <v>1</v>
      </c>
      <c r="G68" s="31">
        <v>44936</v>
      </c>
      <c r="H68" s="61" t="s">
        <v>142</v>
      </c>
    </row>
    <row r="69" spans="1:8" ht="15" thickBot="1" x14ac:dyDescent="0.25">
      <c r="A69" s="14" t="s">
        <v>6</v>
      </c>
      <c r="B69" s="30" t="s">
        <v>143</v>
      </c>
      <c r="C69" s="30" t="s">
        <v>144</v>
      </c>
      <c r="D69" s="31">
        <v>44941</v>
      </c>
      <c r="E69" s="32" t="s">
        <v>109</v>
      </c>
      <c r="F69" s="32">
        <v>1</v>
      </c>
      <c r="G69" s="31">
        <v>44942</v>
      </c>
      <c r="H69" s="61"/>
    </row>
    <row r="70" spans="1:8" ht="15" thickBot="1" x14ac:dyDescent="0.25">
      <c r="A70" s="14" t="s">
        <v>6</v>
      </c>
      <c r="B70" s="30" t="s">
        <v>145</v>
      </c>
      <c r="C70" s="30" t="s">
        <v>146</v>
      </c>
      <c r="D70" s="31">
        <v>44944</v>
      </c>
      <c r="E70" s="32" t="s">
        <v>109</v>
      </c>
      <c r="F70" s="32">
        <v>40</v>
      </c>
      <c r="G70" s="31">
        <v>44948</v>
      </c>
      <c r="H70" s="61"/>
    </row>
    <row r="71" spans="1:8" ht="15" hidden="1" thickBot="1" x14ac:dyDescent="0.25">
      <c r="A71" s="21" t="s">
        <v>723</v>
      </c>
      <c r="B71" s="30" t="s">
        <v>147</v>
      </c>
      <c r="C71" s="30" t="s">
        <v>148</v>
      </c>
      <c r="D71" s="31">
        <v>44944</v>
      </c>
      <c r="E71" s="32" t="s">
        <v>109</v>
      </c>
      <c r="F71" s="32">
        <v>0.05</v>
      </c>
      <c r="G71" s="31">
        <v>44948</v>
      </c>
      <c r="H71" s="61"/>
    </row>
    <row r="72" spans="1:8" ht="15" thickBot="1" x14ac:dyDescent="0.25">
      <c r="A72" s="14" t="s">
        <v>6</v>
      </c>
      <c r="B72" s="30" t="s">
        <v>149</v>
      </c>
      <c r="C72" s="30" t="s">
        <v>150</v>
      </c>
      <c r="D72" s="31">
        <v>44952</v>
      </c>
      <c r="E72" s="32" t="s">
        <v>151</v>
      </c>
      <c r="F72" s="32">
        <v>1887</v>
      </c>
      <c r="G72" s="31">
        <v>44956</v>
      </c>
      <c r="H72" s="61"/>
    </row>
    <row r="73" spans="1:8" ht="29.25" thickBot="1" x14ac:dyDescent="0.25">
      <c r="A73" s="14" t="s">
        <v>6</v>
      </c>
      <c r="B73" s="30" t="s">
        <v>152</v>
      </c>
      <c r="C73" s="30" t="s">
        <v>153</v>
      </c>
      <c r="D73" s="31">
        <v>44952</v>
      </c>
      <c r="E73" s="32" t="s">
        <v>109</v>
      </c>
      <c r="F73" s="32">
        <v>15</v>
      </c>
      <c r="G73" s="31">
        <v>44955</v>
      </c>
      <c r="H73" s="61"/>
    </row>
    <row r="74" spans="1:8" ht="15" thickBot="1" x14ac:dyDescent="0.25">
      <c r="A74" s="14" t="s">
        <v>6</v>
      </c>
      <c r="B74" s="30" t="s">
        <v>154</v>
      </c>
      <c r="C74" s="30" t="s">
        <v>155</v>
      </c>
      <c r="D74" s="31">
        <v>44959</v>
      </c>
      <c r="E74" s="32" t="s">
        <v>59</v>
      </c>
      <c r="F74" s="32">
        <v>632</v>
      </c>
      <c r="G74" s="31">
        <v>45001</v>
      </c>
      <c r="H74" s="61"/>
    </row>
    <row r="75" spans="1:8" ht="15" hidden="1" thickBot="1" x14ac:dyDescent="0.25">
      <c r="A75" s="32" t="s">
        <v>156</v>
      </c>
      <c r="B75" s="30" t="s">
        <v>154</v>
      </c>
      <c r="C75" s="30" t="s">
        <v>52</v>
      </c>
      <c r="D75" s="31">
        <v>44959</v>
      </c>
      <c r="E75" s="32" t="s">
        <v>59</v>
      </c>
      <c r="F75" s="32">
        <v>1</v>
      </c>
      <c r="G75" s="31">
        <v>44962</v>
      </c>
      <c r="H75" s="61"/>
    </row>
    <row r="76" spans="1:8" ht="15" hidden="1" thickBot="1" x14ac:dyDescent="0.25">
      <c r="A76" s="32" t="s">
        <v>18</v>
      </c>
      <c r="B76" s="80" t="s">
        <v>149</v>
      </c>
      <c r="C76" s="26" t="s">
        <v>157</v>
      </c>
      <c r="D76" s="31">
        <v>44962</v>
      </c>
      <c r="E76" s="32" t="s">
        <v>158</v>
      </c>
      <c r="F76" s="32">
        <v>10450</v>
      </c>
      <c r="G76" s="31">
        <v>45029</v>
      </c>
      <c r="H76" s="100"/>
    </row>
    <row r="77" spans="1:8" ht="15" hidden="1" thickBot="1" x14ac:dyDescent="0.25">
      <c r="A77" s="21" t="s">
        <v>132</v>
      </c>
      <c r="B77" s="30" t="s">
        <v>159</v>
      </c>
      <c r="C77" s="30" t="s">
        <v>160</v>
      </c>
      <c r="D77" s="31">
        <v>44962</v>
      </c>
      <c r="E77" s="32" t="s">
        <v>59</v>
      </c>
      <c r="F77" s="32">
        <v>371</v>
      </c>
      <c r="G77" s="31">
        <v>44969</v>
      </c>
      <c r="H77" s="61"/>
    </row>
    <row r="78" spans="1:8" ht="15" hidden="1" thickBot="1" x14ac:dyDescent="0.25">
      <c r="A78" s="32" t="s">
        <v>701</v>
      </c>
      <c r="B78" s="30" t="s">
        <v>161</v>
      </c>
      <c r="C78" s="30" t="s">
        <v>162</v>
      </c>
      <c r="D78" s="31">
        <v>44962</v>
      </c>
      <c r="E78" s="32" t="s">
        <v>72</v>
      </c>
      <c r="F78" s="32">
        <v>15.9</v>
      </c>
      <c r="G78" s="31">
        <v>44963</v>
      </c>
      <c r="H78" s="61"/>
    </row>
    <row r="79" spans="1:8" ht="15" thickBot="1" x14ac:dyDescent="0.25">
      <c r="A79" s="14" t="s">
        <v>6</v>
      </c>
      <c r="B79" s="30" t="s">
        <v>163</v>
      </c>
      <c r="C79" s="30" t="s">
        <v>164</v>
      </c>
      <c r="D79" s="31">
        <v>44964</v>
      </c>
      <c r="E79" s="32" t="s">
        <v>59</v>
      </c>
      <c r="F79" s="32">
        <v>0.4</v>
      </c>
      <c r="G79" s="31">
        <v>44971</v>
      </c>
      <c r="H79" s="61"/>
    </row>
    <row r="80" spans="1:8" ht="15" hidden="1" thickBot="1" x14ac:dyDescent="0.25">
      <c r="A80" s="32" t="s">
        <v>699</v>
      </c>
      <c r="B80" s="30" t="s">
        <v>165</v>
      </c>
      <c r="C80" s="30" t="s">
        <v>166</v>
      </c>
      <c r="D80" s="31">
        <v>44964</v>
      </c>
      <c r="E80" s="32" t="s">
        <v>59</v>
      </c>
      <c r="F80" s="32"/>
      <c r="G80" s="31">
        <f>Tableau2[[#This Row],[16/02/2025]]</f>
        <v>44964</v>
      </c>
      <c r="H80" s="61" t="s">
        <v>167</v>
      </c>
    </row>
    <row r="81" spans="1:8" ht="15" hidden="1" thickBot="1" x14ac:dyDescent="0.25">
      <c r="A81" s="21" t="s">
        <v>132</v>
      </c>
      <c r="B81" s="30" t="s">
        <v>168</v>
      </c>
      <c r="C81" s="30" t="s">
        <v>169</v>
      </c>
      <c r="D81" s="31">
        <v>44966</v>
      </c>
      <c r="E81" s="32" t="s">
        <v>72</v>
      </c>
      <c r="F81" s="32">
        <v>29</v>
      </c>
      <c r="G81" s="31">
        <v>44970</v>
      </c>
      <c r="H81" s="61"/>
    </row>
    <row r="82" spans="1:8" ht="29.25" hidden="1" thickBot="1" x14ac:dyDescent="0.25">
      <c r="A82" s="21" t="s">
        <v>723</v>
      </c>
      <c r="B82" s="30" t="s">
        <v>170</v>
      </c>
      <c r="C82" s="30" t="s">
        <v>171</v>
      </c>
      <c r="D82" s="31">
        <v>44966</v>
      </c>
      <c r="E82" s="31" t="s">
        <v>59</v>
      </c>
      <c r="F82" s="32">
        <v>0.5</v>
      </c>
      <c r="G82" s="31">
        <v>44980</v>
      </c>
      <c r="H82" s="61"/>
    </row>
    <row r="83" spans="1:8" ht="15" hidden="1" thickBot="1" x14ac:dyDescent="0.25">
      <c r="A83" s="21" t="s">
        <v>723</v>
      </c>
      <c r="B83" s="30" t="s">
        <v>172</v>
      </c>
      <c r="C83" s="30" t="s">
        <v>173</v>
      </c>
      <c r="D83" s="31">
        <v>44966</v>
      </c>
      <c r="E83" s="32" t="s">
        <v>59</v>
      </c>
      <c r="F83" s="32">
        <v>60</v>
      </c>
      <c r="G83" s="31">
        <v>44971</v>
      </c>
      <c r="H83" s="61"/>
    </row>
    <row r="84" spans="1:8" ht="15" hidden="1" thickBot="1" x14ac:dyDescent="0.25">
      <c r="A84" s="32" t="s">
        <v>701</v>
      </c>
      <c r="B84" s="30" t="s">
        <v>174</v>
      </c>
      <c r="C84" s="30" t="s">
        <v>175</v>
      </c>
      <c r="D84" s="31">
        <v>44969</v>
      </c>
      <c r="E84" s="32" t="s">
        <v>109</v>
      </c>
      <c r="F84" s="32">
        <v>1</v>
      </c>
      <c r="G84" s="31">
        <v>44938</v>
      </c>
      <c r="H84" s="61"/>
    </row>
    <row r="85" spans="1:8" ht="15" thickBot="1" x14ac:dyDescent="0.25">
      <c r="A85" s="14" t="s">
        <v>6</v>
      </c>
      <c r="B85" s="30" t="s">
        <v>176</v>
      </c>
      <c r="C85" s="30" t="s">
        <v>177</v>
      </c>
      <c r="D85" s="31">
        <v>44973</v>
      </c>
      <c r="E85" s="32" t="s">
        <v>59</v>
      </c>
      <c r="F85" s="32">
        <v>23</v>
      </c>
      <c r="G85" s="31">
        <v>45001</v>
      </c>
      <c r="H85" s="61"/>
    </row>
    <row r="86" spans="1:8" ht="15" hidden="1" thickBot="1" x14ac:dyDescent="0.25">
      <c r="A86" s="32" t="s">
        <v>699</v>
      </c>
      <c r="B86" s="30" t="s">
        <v>178</v>
      </c>
      <c r="C86" s="30" t="s">
        <v>179</v>
      </c>
      <c r="D86" s="31">
        <v>44973</v>
      </c>
      <c r="E86" s="32" t="s">
        <v>59</v>
      </c>
      <c r="F86" s="32">
        <v>40</v>
      </c>
      <c r="G86" s="31">
        <v>44980</v>
      </c>
      <c r="H86" s="61"/>
    </row>
    <row r="87" spans="1:8" ht="15" hidden="1" thickBot="1" x14ac:dyDescent="0.25">
      <c r="A87" s="32" t="s">
        <v>67</v>
      </c>
      <c r="B87" s="30" t="s">
        <v>180</v>
      </c>
      <c r="C87" s="30" t="s">
        <v>136</v>
      </c>
      <c r="D87" s="31">
        <v>44977</v>
      </c>
      <c r="E87" s="32" t="s">
        <v>67</v>
      </c>
      <c r="F87" s="32">
        <v>1850</v>
      </c>
      <c r="G87" s="31">
        <v>44989</v>
      </c>
      <c r="H87" s="61"/>
    </row>
    <row r="88" spans="1:8" ht="15" hidden="1" thickBot="1" x14ac:dyDescent="0.25">
      <c r="A88" s="32" t="s">
        <v>67</v>
      </c>
      <c r="B88" s="30" t="s">
        <v>181</v>
      </c>
      <c r="C88" s="30" t="s">
        <v>182</v>
      </c>
      <c r="D88" s="31">
        <v>44978</v>
      </c>
      <c r="E88" s="32" t="s">
        <v>59</v>
      </c>
      <c r="F88" s="32">
        <v>24</v>
      </c>
      <c r="G88" s="31">
        <v>44980</v>
      </c>
      <c r="H88" s="61"/>
    </row>
    <row r="89" spans="1:8" ht="15" thickBot="1" x14ac:dyDescent="0.25">
      <c r="A89" s="14" t="s">
        <v>6</v>
      </c>
      <c r="B89" s="30" t="s">
        <v>183</v>
      </c>
      <c r="C89" s="30" t="s">
        <v>184</v>
      </c>
      <c r="D89" s="31">
        <v>44979</v>
      </c>
      <c r="E89" s="32" t="s">
        <v>109</v>
      </c>
      <c r="F89" s="32">
        <v>1</v>
      </c>
      <c r="G89" s="31">
        <v>44983</v>
      </c>
      <c r="H89" s="61"/>
    </row>
    <row r="90" spans="1:8" ht="15" hidden="1" thickBot="1" x14ac:dyDescent="0.25">
      <c r="A90" s="21" t="s">
        <v>132</v>
      </c>
      <c r="B90" s="30" t="s">
        <v>185</v>
      </c>
      <c r="C90" s="30" t="s">
        <v>186</v>
      </c>
      <c r="D90" s="31">
        <v>44980</v>
      </c>
      <c r="E90" s="32" t="s">
        <v>59</v>
      </c>
      <c r="F90" s="32">
        <v>1640</v>
      </c>
      <c r="G90" s="31">
        <v>44992</v>
      </c>
      <c r="H90" s="61"/>
    </row>
    <row r="91" spans="1:8" ht="29.25" hidden="1" thickBot="1" x14ac:dyDescent="0.25">
      <c r="A91" s="21" t="s">
        <v>132</v>
      </c>
      <c r="B91" s="30" t="s">
        <v>187</v>
      </c>
      <c r="C91" s="30" t="s">
        <v>188</v>
      </c>
      <c r="D91" s="31">
        <v>44980</v>
      </c>
      <c r="E91" s="31" t="s">
        <v>109</v>
      </c>
      <c r="F91" s="32">
        <v>2</v>
      </c>
      <c r="G91" s="31">
        <v>44986</v>
      </c>
      <c r="H91" s="61"/>
    </row>
    <row r="92" spans="1:8" ht="29.25" hidden="1" thickBot="1" x14ac:dyDescent="0.25">
      <c r="A92" s="21" t="s">
        <v>132</v>
      </c>
      <c r="B92" s="30" t="s">
        <v>189</v>
      </c>
      <c r="C92" s="30" t="s">
        <v>190</v>
      </c>
      <c r="D92" s="31">
        <v>44985</v>
      </c>
      <c r="E92" s="32" t="s">
        <v>72</v>
      </c>
      <c r="F92" s="32">
        <v>3500</v>
      </c>
      <c r="G92" s="31">
        <v>44986</v>
      </c>
      <c r="H92" s="61"/>
    </row>
    <row r="93" spans="1:8" ht="15" thickBot="1" x14ac:dyDescent="0.25">
      <c r="A93" s="14" t="s">
        <v>6</v>
      </c>
      <c r="B93" s="30" t="s">
        <v>191</v>
      </c>
      <c r="C93" s="30" t="s">
        <v>84</v>
      </c>
      <c r="D93" s="31">
        <v>44986</v>
      </c>
      <c r="E93" s="32" t="s">
        <v>6</v>
      </c>
      <c r="F93" s="32">
        <v>2</v>
      </c>
      <c r="G93" s="31">
        <v>45001</v>
      </c>
      <c r="H93" s="61"/>
    </row>
    <row r="94" spans="1:8" ht="15" hidden="1" thickBot="1" x14ac:dyDescent="0.25">
      <c r="A94" s="21" t="s">
        <v>132</v>
      </c>
      <c r="B94" s="30" t="s">
        <v>192</v>
      </c>
      <c r="C94" s="30" t="s">
        <v>193</v>
      </c>
      <c r="D94" s="31">
        <v>44990</v>
      </c>
      <c r="E94" s="32" t="s">
        <v>109</v>
      </c>
      <c r="F94" s="32">
        <v>13500</v>
      </c>
      <c r="G94" s="31">
        <v>45040</v>
      </c>
      <c r="H94" s="61"/>
    </row>
    <row r="95" spans="1:8" ht="15" hidden="1" thickBot="1" x14ac:dyDescent="0.25">
      <c r="A95" s="32" t="s">
        <v>67</v>
      </c>
      <c r="B95" s="30" t="s">
        <v>139</v>
      </c>
      <c r="C95" s="30" t="s">
        <v>194</v>
      </c>
      <c r="D95" s="31">
        <v>44990</v>
      </c>
      <c r="E95" s="32" t="s">
        <v>109</v>
      </c>
      <c r="F95" s="32"/>
      <c r="G95" s="31">
        <f>Tableau2[[#This Row],[16/02/2025]]</f>
        <v>44990</v>
      </c>
      <c r="H95" s="61" t="s">
        <v>195</v>
      </c>
    </row>
    <row r="96" spans="1:8" ht="15" thickBot="1" x14ac:dyDescent="0.25">
      <c r="A96" s="14" t="s">
        <v>6</v>
      </c>
      <c r="B96" s="30" t="s">
        <v>196</v>
      </c>
      <c r="C96" s="30" t="s">
        <v>197</v>
      </c>
      <c r="D96" s="31">
        <v>44997</v>
      </c>
      <c r="E96" s="32" t="s">
        <v>109</v>
      </c>
      <c r="F96" s="32">
        <v>9</v>
      </c>
      <c r="G96" s="31">
        <v>45001</v>
      </c>
      <c r="H96" s="61"/>
    </row>
    <row r="97" spans="1:8" ht="15" thickBot="1" x14ac:dyDescent="0.25">
      <c r="A97" s="14" t="s">
        <v>6</v>
      </c>
      <c r="B97" s="30" t="s">
        <v>198</v>
      </c>
      <c r="C97" s="30" t="s">
        <v>199</v>
      </c>
      <c r="D97" s="31">
        <v>44997</v>
      </c>
      <c r="E97" s="32" t="s">
        <v>109</v>
      </c>
      <c r="F97" s="32">
        <v>2</v>
      </c>
      <c r="G97" s="31">
        <v>45001</v>
      </c>
      <c r="H97" s="61"/>
    </row>
    <row r="98" spans="1:8" ht="29.25" thickBot="1" x14ac:dyDescent="0.25">
      <c r="A98" s="14" t="s">
        <v>6</v>
      </c>
      <c r="B98" s="30" t="s">
        <v>200</v>
      </c>
      <c r="C98" s="30" t="s">
        <v>201</v>
      </c>
      <c r="D98" s="31">
        <v>44997</v>
      </c>
      <c r="E98" s="32" t="s">
        <v>109</v>
      </c>
      <c r="F98" s="32">
        <v>1.78</v>
      </c>
      <c r="G98" s="31">
        <v>45001</v>
      </c>
      <c r="H98" s="61"/>
    </row>
    <row r="99" spans="1:8" ht="15" hidden="1" thickBot="1" x14ac:dyDescent="0.25">
      <c r="A99" s="32" t="s">
        <v>699</v>
      </c>
      <c r="B99" s="30" t="s">
        <v>202</v>
      </c>
      <c r="C99" s="30" t="s">
        <v>203</v>
      </c>
      <c r="D99" s="31">
        <v>44997</v>
      </c>
      <c r="E99" s="32" t="s">
        <v>109</v>
      </c>
      <c r="F99" s="32">
        <v>0.3</v>
      </c>
      <c r="G99" s="31">
        <v>44998</v>
      </c>
      <c r="H99" s="61"/>
    </row>
    <row r="100" spans="1:8" ht="15" hidden="1" thickBot="1" x14ac:dyDescent="0.25">
      <c r="A100" s="32" t="s">
        <v>701</v>
      </c>
      <c r="B100" s="30" t="s">
        <v>204</v>
      </c>
      <c r="C100" s="30" t="s">
        <v>205</v>
      </c>
      <c r="D100" s="31">
        <v>44997</v>
      </c>
      <c r="E100" s="32" t="s">
        <v>109</v>
      </c>
      <c r="F100" s="32">
        <v>0.4</v>
      </c>
      <c r="G100" s="31">
        <v>44999</v>
      </c>
      <c r="H100" s="61"/>
    </row>
    <row r="101" spans="1:8" ht="29.25" hidden="1" thickBot="1" x14ac:dyDescent="0.25">
      <c r="A101" s="21" t="s">
        <v>132</v>
      </c>
      <c r="B101" s="30" t="s">
        <v>206</v>
      </c>
      <c r="C101" s="30" t="s">
        <v>207</v>
      </c>
      <c r="D101" s="31">
        <v>45004</v>
      </c>
      <c r="E101" s="32" t="s">
        <v>72</v>
      </c>
      <c r="F101" s="32">
        <v>9600</v>
      </c>
      <c r="G101" s="31">
        <v>45402</v>
      </c>
      <c r="H101" s="61"/>
    </row>
    <row r="102" spans="1:8" ht="15" hidden="1" thickBot="1" x14ac:dyDescent="0.25">
      <c r="A102" s="32" t="s">
        <v>67</v>
      </c>
      <c r="B102" s="30" t="s">
        <v>208</v>
      </c>
      <c r="C102" s="30" t="s">
        <v>209</v>
      </c>
      <c r="D102" s="31">
        <v>45008</v>
      </c>
      <c r="E102" s="32" t="s">
        <v>72</v>
      </c>
      <c r="F102" s="32">
        <v>75</v>
      </c>
      <c r="G102" s="31">
        <v>45011</v>
      </c>
      <c r="H102" s="61" t="s">
        <v>210</v>
      </c>
    </row>
    <row r="103" spans="1:8" ht="29.25" thickBot="1" x14ac:dyDescent="0.25">
      <c r="A103" s="14" t="s">
        <v>6</v>
      </c>
      <c r="B103" s="30" t="s">
        <v>211</v>
      </c>
      <c r="C103" s="30" t="s">
        <v>212</v>
      </c>
      <c r="D103" s="31">
        <v>45011</v>
      </c>
      <c r="E103" s="32"/>
      <c r="F103" s="32"/>
      <c r="G103" s="31">
        <f>Tableau2[[#This Row],[16/02/2025]]</f>
        <v>45011</v>
      </c>
      <c r="H103" s="61" t="s">
        <v>213</v>
      </c>
    </row>
    <row r="104" spans="1:8" ht="15" hidden="1" thickBot="1" x14ac:dyDescent="0.25">
      <c r="A104" s="21" t="s">
        <v>11</v>
      </c>
      <c r="B104" s="30" t="s">
        <v>214</v>
      </c>
      <c r="C104" s="30" t="s">
        <v>175</v>
      </c>
      <c r="D104" s="31">
        <v>45011</v>
      </c>
      <c r="E104" s="32" t="s">
        <v>59</v>
      </c>
      <c r="F104" s="32">
        <v>0.7</v>
      </c>
      <c r="G104" s="31">
        <v>45012</v>
      </c>
      <c r="H104" s="61"/>
    </row>
    <row r="105" spans="1:8" ht="30.75" thickBot="1" x14ac:dyDescent="0.25">
      <c r="A105" s="14" t="s">
        <v>6</v>
      </c>
      <c r="B105" s="37" t="s">
        <v>215</v>
      </c>
      <c r="C105" s="30" t="s">
        <v>216</v>
      </c>
      <c r="D105" s="31">
        <v>45012</v>
      </c>
      <c r="E105" s="32" t="s">
        <v>109</v>
      </c>
      <c r="F105" s="32">
        <v>2</v>
      </c>
      <c r="G105" s="31">
        <v>45013</v>
      </c>
      <c r="H105" s="61" t="s">
        <v>217</v>
      </c>
    </row>
    <row r="106" spans="1:8" ht="15.75" hidden="1" thickBot="1" x14ac:dyDescent="0.25">
      <c r="A106" s="21" t="s">
        <v>132</v>
      </c>
      <c r="B106" s="7" t="s">
        <v>218</v>
      </c>
      <c r="C106" s="7" t="s">
        <v>219</v>
      </c>
      <c r="D106" s="8">
        <v>45020</v>
      </c>
      <c r="E106" s="9" t="s">
        <v>72</v>
      </c>
      <c r="F106" s="9">
        <v>2460</v>
      </c>
      <c r="G106" s="8">
        <v>45040</v>
      </c>
      <c r="H106" s="64"/>
    </row>
    <row r="107" spans="1:8" ht="15" hidden="1" thickBot="1" x14ac:dyDescent="0.25">
      <c r="A107" s="32" t="s">
        <v>67</v>
      </c>
      <c r="B107" s="30" t="s">
        <v>220</v>
      </c>
      <c r="C107" s="30" t="s">
        <v>209</v>
      </c>
      <c r="D107" s="31">
        <v>45021</v>
      </c>
      <c r="E107" s="32" t="s">
        <v>59</v>
      </c>
      <c r="F107" s="32" t="s">
        <v>221</v>
      </c>
      <c r="G107" s="31">
        <v>45022</v>
      </c>
      <c r="H107" s="61"/>
    </row>
    <row r="108" spans="1:8" ht="15" hidden="1" thickBot="1" x14ac:dyDescent="0.25">
      <c r="A108" s="21" t="s">
        <v>700</v>
      </c>
      <c r="B108" s="30" t="s">
        <v>222</v>
      </c>
      <c r="C108" s="30" t="s">
        <v>46</v>
      </c>
      <c r="D108" s="31">
        <v>45022</v>
      </c>
      <c r="E108" s="32" t="s">
        <v>109</v>
      </c>
      <c r="F108" s="32">
        <v>30</v>
      </c>
      <c r="G108" s="31">
        <v>45022</v>
      </c>
      <c r="H108" s="61" t="s">
        <v>223</v>
      </c>
    </row>
    <row r="109" spans="1:8" ht="15" thickBot="1" x14ac:dyDescent="0.25">
      <c r="A109" s="14" t="s">
        <v>6</v>
      </c>
      <c r="B109" s="30" t="s">
        <v>224</v>
      </c>
      <c r="C109" s="30" t="s">
        <v>46</v>
      </c>
      <c r="D109" s="31">
        <v>45025</v>
      </c>
      <c r="E109" s="32" t="s">
        <v>109</v>
      </c>
      <c r="F109" s="32">
        <v>60</v>
      </c>
      <c r="G109" s="31">
        <v>45035</v>
      </c>
      <c r="H109" s="61"/>
    </row>
    <row r="110" spans="1:8" ht="15" thickBot="1" x14ac:dyDescent="0.25">
      <c r="A110" s="14" t="s">
        <v>6</v>
      </c>
      <c r="B110" s="30" t="s">
        <v>225</v>
      </c>
      <c r="C110" s="30" t="s">
        <v>226</v>
      </c>
      <c r="D110" s="31">
        <v>45025</v>
      </c>
      <c r="E110" s="32" t="s">
        <v>109</v>
      </c>
      <c r="F110" s="32">
        <v>5.65</v>
      </c>
      <c r="G110" s="31">
        <v>45027</v>
      </c>
      <c r="H110" s="61"/>
    </row>
    <row r="111" spans="1:8" ht="15" hidden="1" thickBot="1" x14ac:dyDescent="0.25">
      <c r="A111" s="21" t="s">
        <v>132</v>
      </c>
      <c r="B111" s="30" t="s">
        <v>123</v>
      </c>
      <c r="C111" s="30" t="s">
        <v>227</v>
      </c>
      <c r="D111" s="31">
        <v>45027</v>
      </c>
      <c r="E111" s="32" t="s">
        <v>72</v>
      </c>
      <c r="F111" s="32">
        <v>260</v>
      </c>
      <c r="G111" s="31">
        <v>45027</v>
      </c>
      <c r="H111" s="61"/>
    </row>
    <row r="112" spans="1:8" ht="15" hidden="1" thickBot="1" x14ac:dyDescent="0.25">
      <c r="A112" s="21" t="s">
        <v>132</v>
      </c>
      <c r="B112" s="30" t="s">
        <v>228</v>
      </c>
      <c r="C112" s="30" t="s">
        <v>229</v>
      </c>
      <c r="D112" s="31">
        <v>45028</v>
      </c>
      <c r="E112" s="32" t="s">
        <v>72</v>
      </c>
      <c r="F112" s="32">
        <v>1840</v>
      </c>
      <c r="G112" s="31">
        <v>45402</v>
      </c>
      <c r="H112" s="61"/>
    </row>
    <row r="113" spans="1:8" ht="15" hidden="1" thickBot="1" x14ac:dyDescent="0.25">
      <c r="A113" s="32" t="s">
        <v>701</v>
      </c>
      <c r="B113" s="30" t="s">
        <v>230</v>
      </c>
      <c r="C113" s="30" t="s">
        <v>231</v>
      </c>
      <c r="D113" s="31">
        <v>45028</v>
      </c>
      <c r="E113" s="32" t="s">
        <v>72</v>
      </c>
      <c r="F113" s="32">
        <v>0.7</v>
      </c>
      <c r="G113" s="31">
        <v>45028</v>
      </c>
      <c r="H113" s="61"/>
    </row>
    <row r="114" spans="1:8" ht="43.5" hidden="1" thickBot="1" x14ac:dyDescent="0.25">
      <c r="A114" s="32" t="s">
        <v>67</v>
      </c>
      <c r="B114" s="30" t="s">
        <v>232</v>
      </c>
      <c r="C114" s="30" t="s">
        <v>233</v>
      </c>
      <c r="D114" s="31">
        <v>45032</v>
      </c>
      <c r="E114" s="32" t="s">
        <v>59</v>
      </c>
      <c r="F114" s="32">
        <v>130.68</v>
      </c>
      <c r="G114" s="31">
        <v>45043</v>
      </c>
      <c r="H114" s="61"/>
    </row>
    <row r="115" spans="1:8" ht="15" thickBot="1" x14ac:dyDescent="0.25">
      <c r="A115" s="14" t="s">
        <v>6</v>
      </c>
      <c r="B115" s="30" t="s">
        <v>234</v>
      </c>
      <c r="C115" s="30" t="s">
        <v>235</v>
      </c>
      <c r="D115" s="31">
        <v>45034</v>
      </c>
      <c r="E115" s="32" t="s">
        <v>59</v>
      </c>
      <c r="F115" s="32">
        <v>2.88</v>
      </c>
      <c r="G115" s="31">
        <v>45045</v>
      </c>
      <c r="H115" s="61"/>
    </row>
    <row r="116" spans="1:8" ht="29.25" thickBot="1" x14ac:dyDescent="0.25">
      <c r="A116" s="14" t="s">
        <v>6</v>
      </c>
      <c r="B116" s="30" t="s">
        <v>236</v>
      </c>
      <c r="C116" s="30" t="s">
        <v>237</v>
      </c>
      <c r="D116" s="31">
        <v>45036</v>
      </c>
      <c r="E116" s="32" t="s">
        <v>59</v>
      </c>
      <c r="F116" s="32">
        <v>43</v>
      </c>
      <c r="G116" s="31">
        <v>45043</v>
      </c>
      <c r="H116" s="61"/>
    </row>
    <row r="117" spans="1:8" ht="15" hidden="1" thickBot="1" x14ac:dyDescent="0.25">
      <c r="A117" s="21" t="s">
        <v>132</v>
      </c>
      <c r="B117" s="30" t="s">
        <v>238</v>
      </c>
      <c r="C117" s="30" t="s">
        <v>239</v>
      </c>
      <c r="D117" s="31">
        <v>45041</v>
      </c>
      <c r="E117" s="32" t="s">
        <v>59</v>
      </c>
      <c r="F117" s="32">
        <v>11.1</v>
      </c>
      <c r="G117" s="31">
        <v>45050</v>
      </c>
      <c r="H117" s="61"/>
    </row>
    <row r="118" spans="1:8" ht="15" hidden="1" thickBot="1" x14ac:dyDescent="0.25">
      <c r="A118" s="32" t="s">
        <v>67</v>
      </c>
      <c r="B118" s="30" t="s">
        <v>240</v>
      </c>
      <c r="C118" s="30" t="s">
        <v>239</v>
      </c>
      <c r="D118" s="31">
        <v>45043</v>
      </c>
      <c r="E118" s="32" t="s">
        <v>241</v>
      </c>
      <c r="F118" s="32">
        <v>2.4</v>
      </c>
      <c r="G118" s="31">
        <v>45044</v>
      </c>
      <c r="H118" s="61" t="s">
        <v>242</v>
      </c>
    </row>
    <row r="119" spans="1:8" ht="29.25" hidden="1" thickBot="1" x14ac:dyDescent="0.25">
      <c r="A119" s="32" t="s">
        <v>67</v>
      </c>
      <c r="B119" s="30" t="s">
        <v>243</v>
      </c>
      <c r="C119" s="30" t="s">
        <v>244</v>
      </c>
      <c r="D119" s="31">
        <v>45043</v>
      </c>
      <c r="E119" s="32" t="s">
        <v>59</v>
      </c>
      <c r="F119" s="32">
        <v>305</v>
      </c>
      <c r="G119" s="31">
        <v>45044</v>
      </c>
      <c r="H119" s="61"/>
    </row>
    <row r="120" spans="1:8" ht="15" hidden="1" thickBot="1" x14ac:dyDescent="0.25">
      <c r="A120" s="32" t="s">
        <v>67</v>
      </c>
      <c r="B120" s="30" t="s">
        <v>245</v>
      </c>
      <c r="C120" s="30" t="s">
        <v>246</v>
      </c>
      <c r="D120" s="31">
        <v>45046</v>
      </c>
      <c r="E120" s="32" t="s">
        <v>59</v>
      </c>
      <c r="F120" s="32">
        <v>1</v>
      </c>
      <c r="G120" s="31">
        <v>45046</v>
      </c>
      <c r="H120" s="61"/>
    </row>
    <row r="121" spans="1:8" ht="29.25" hidden="1" thickBot="1" x14ac:dyDescent="0.25">
      <c r="A121" s="32" t="s">
        <v>701</v>
      </c>
      <c r="B121" s="30" t="s">
        <v>247</v>
      </c>
      <c r="C121" s="30" t="s">
        <v>248</v>
      </c>
      <c r="D121" s="31">
        <v>45048</v>
      </c>
      <c r="E121" s="32" t="s">
        <v>72</v>
      </c>
      <c r="F121" s="32">
        <v>1.1000000000000001</v>
      </c>
      <c r="G121" s="31">
        <v>45053</v>
      </c>
      <c r="H121" s="61"/>
    </row>
    <row r="122" spans="1:8" ht="15" thickBot="1" x14ac:dyDescent="0.25">
      <c r="A122" s="14" t="s">
        <v>6</v>
      </c>
      <c r="B122" s="30" t="s">
        <v>249</v>
      </c>
      <c r="C122" s="30" t="s">
        <v>250</v>
      </c>
      <c r="D122" s="31">
        <v>45053</v>
      </c>
      <c r="E122" s="32" t="s">
        <v>109</v>
      </c>
      <c r="F122" s="32">
        <v>20</v>
      </c>
      <c r="G122" s="31">
        <v>45114</v>
      </c>
      <c r="H122" s="61" t="s">
        <v>251</v>
      </c>
    </row>
    <row r="123" spans="1:8" ht="15" hidden="1" thickBot="1" x14ac:dyDescent="0.25">
      <c r="A123" s="32" t="s">
        <v>701</v>
      </c>
      <c r="B123" s="30" t="s">
        <v>252</v>
      </c>
      <c r="C123" s="30" t="s">
        <v>253</v>
      </c>
      <c r="D123" s="31">
        <v>45054</v>
      </c>
      <c r="E123" s="32" t="s">
        <v>109</v>
      </c>
      <c r="F123" s="32">
        <v>2</v>
      </c>
      <c r="G123" s="31">
        <v>45056</v>
      </c>
      <c r="H123" s="61" t="s">
        <v>254</v>
      </c>
    </row>
    <row r="124" spans="1:8" ht="15" hidden="1" thickBot="1" x14ac:dyDescent="0.25">
      <c r="A124" s="21" t="s">
        <v>11</v>
      </c>
      <c r="B124" s="30" t="s">
        <v>218</v>
      </c>
      <c r="C124" s="30" t="s">
        <v>255</v>
      </c>
      <c r="D124" s="31">
        <v>45060</v>
      </c>
      <c r="E124" s="32" t="s">
        <v>72</v>
      </c>
      <c r="F124" s="32">
        <v>43</v>
      </c>
      <c r="G124" s="31">
        <v>45060</v>
      </c>
      <c r="H124" s="61"/>
    </row>
    <row r="125" spans="1:8" ht="15" hidden="1" thickBot="1" x14ac:dyDescent="0.25">
      <c r="A125" s="32" t="s">
        <v>67</v>
      </c>
      <c r="B125" s="30" t="s">
        <v>256</v>
      </c>
      <c r="C125" s="30" t="s">
        <v>257</v>
      </c>
      <c r="D125" s="31">
        <v>45061</v>
      </c>
      <c r="E125" s="32" t="s">
        <v>81</v>
      </c>
      <c r="F125" s="32">
        <v>0.1</v>
      </c>
      <c r="G125" s="31">
        <v>45061</v>
      </c>
      <c r="H125" s="61"/>
    </row>
    <row r="126" spans="1:8" ht="15" thickBot="1" x14ac:dyDescent="0.25">
      <c r="A126" s="14" t="s">
        <v>6</v>
      </c>
      <c r="B126" s="30" t="s">
        <v>258</v>
      </c>
      <c r="C126" s="30" t="s">
        <v>259</v>
      </c>
      <c r="D126" s="31">
        <v>45068</v>
      </c>
      <c r="E126" s="32" t="s">
        <v>109</v>
      </c>
      <c r="F126" s="32">
        <v>22</v>
      </c>
      <c r="G126" s="31">
        <v>45069</v>
      </c>
      <c r="H126" s="61"/>
    </row>
    <row r="127" spans="1:8" ht="15" thickBot="1" x14ac:dyDescent="0.25">
      <c r="A127" s="14" t="s">
        <v>6</v>
      </c>
      <c r="B127" s="30" t="s">
        <v>260</v>
      </c>
      <c r="C127" s="30" t="s">
        <v>261</v>
      </c>
      <c r="D127" s="31">
        <v>45068</v>
      </c>
      <c r="E127" s="32" t="s">
        <v>109</v>
      </c>
      <c r="F127" s="32" t="s">
        <v>262</v>
      </c>
      <c r="G127" s="31">
        <v>45069</v>
      </c>
      <c r="H127" s="61"/>
    </row>
    <row r="128" spans="1:8" ht="15" thickBot="1" x14ac:dyDescent="0.25">
      <c r="A128" s="14" t="s">
        <v>6</v>
      </c>
      <c r="B128" s="30" t="s">
        <v>21</v>
      </c>
      <c r="C128" s="30" t="s">
        <v>263</v>
      </c>
      <c r="D128" s="31">
        <v>45069</v>
      </c>
      <c r="E128" s="32" t="s">
        <v>59</v>
      </c>
      <c r="F128" s="32" t="s">
        <v>264</v>
      </c>
      <c r="G128" s="31">
        <v>45077</v>
      </c>
      <c r="H128" s="61"/>
    </row>
    <row r="129" spans="1:8" ht="29.25" hidden="1" thickBot="1" x14ac:dyDescent="0.25">
      <c r="A129" s="21" t="s">
        <v>132</v>
      </c>
      <c r="B129" s="30" t="s">
        <v>265</v>
      </c>
      <c r="C129" s="30" t="s">
        <v>266</v>
      </c>
      <c r="D129" s="31">
        <v>45078</v>
      </c>
      <c r="E129" s="32" t="s">
        <v>109</v>
      </c>
      <c r="F129" s="59">
        <v>20</v>
      </c>
      <c r="G129" s="31">
        <v>45081</v>
      </c>
      <c r="H129" s="61"/>
    </row>
    <row r="130" spans="1:8" ht="15" thickBot="1" x14ac:dyDescent="0.25">
      <c r="A130" s="14" t="s">
        <v>6</v>
      </c>
      <c r="B130" s="30" t="s">
        <v>267</v>
      </c>
      <c r="C130" s="30" t="s">
        <v>58</v>
      </c>
      <c r="D130" s="31">
        <v>45081</v>
      </c>
      <c r="E130" s="32" t="s">
        <v>72</v>
      </c>
      <c r="F130" s="32" t="s">
        <v>268</v>
      </c>
      <c r="G130" s="31">
        <v>45082</v>
      </c>
      <c r="H130" s="61"/>
    </row>
    <row r="131" spans="1:8" ht="15" hidden="1" thickBot="1" x14ac:dyDescent="0.25">
      <c r="A131" s="21" t="s">
        <v>132</v>
      </c>
      <c r="B131" s="30" t="s">
        <v>206</v>
      </c>
      <c r="C131" s="30" t="s">
        <v>269</v>
      </c>
      <c r="D131" s="31">
        <v>45083</v>
      </c>
      <c r="E131" s="32" t="s">
        <v>72</v>
      </c>
      <c r="F131" s="32" t="s">
        <v>270</v>
      </c>
      <c r="G131" s="31">
        <v>45084</v>
      </c>
      <c r="H131" s="61"/>
    </row>
    <row r="132" spans="1:8" ht="29.25" thickBot="1" x14ac:dyDescent="0.25">
      <c r="A132" s="14" t="s">
        <v>6</v>
      </c>
      <c r="B132" s="30" t="s">
        <v>271</v>
      </c>
      <c r="C132" s="30" t="s">
        <v>58</v>
      </c>
      <c r="D132" s="31">
        <v>45088</v>
      </c>
      <c r="E132" s="32" t="s">
        <v>72</v>
      </c>
      <c r="F132" s="32" t="s">
        <v>272</v>
      </c>
      <c r="G132" s="31">
        <v>45089</v>
      </c>
      <c r="H132" s="61"/>
    </row>
    <row r="133" spans="1:8" ht="15" hidden="1" thickBot="1" x14ac:dyDescent="0.25">
      <c r="A133" s="21" t="s">
        <v>132</v>
      </c>
      <c r="B133" s="30" t="s">
        <v>273</v>
      </c>
      <c r="C133" s="30" t="s">
        <v>274</v>
      </c>
      <c r="D133" s="31">
        <v>45088</v>
      </c>
      <c r="E133" s="32" t="s">
        <v>72</v>
      </c>
      <c r="F133" s="32">
        <v>6860</v>
      </c>
      <c r="G133" s="31">
        <v>45120</v>
      </c>
      <c r="H133" s="61"/>
    </row>
    <row r="134" spans="1:8" ht="15" hidden="1" thickBot="1" x14ac:dyDescent="0.25">
      <c r="A134" s="32" t="s">
        <v>67</v>
      </c>
      <c r="B134" s="30" t="s">
        <v>275</v>
      </c>
      <c r="C134" s="30" t="s">
        <v>276</v>
      </c>
      <c r="D134" s="31">
        <v>45091</v>
      </c>
      <c r="E134" s="31" t="s">
        <v>59</v>
      </c>
      <c r="F134" s="32" t="s">
        <v>277</v>
      </c>
      <c r="G134" s="31">
        <v>45092</v>
      </c>
      <c r="H134" s="61"/>
    </row>
    <row r="135" spans="1:8" ht="15" hidden="1" thickBot="1" x14ac:dyDescent="0.25">
      <c r="A135" s="32" t="s">
        <v>67</v>
      </c>
      <c r="B135" s="30" t="s">
        <v>278</v>
      </c>
      <c r="C135" s="30" t="s">
        <v>276</v>
      </c>
      <c r="D135" s="31">
        <v>45091</v>
      </c>
      <c r="E135" s="31" t="s">
        <v>59</v>
      </c>
      <c r="F135" s="32" t="s">
        <v>279</v>
      </c>
      <c r="G135" s="31">
        <v>45102</v>
      </c>
      <c r="H135" s="61"/>
    </row>
    <row r="136" spans="1:8" ht="15" hidden="1" thickBot="1" x14ac:dyDescent="0.25">
      <c r="A136" s="21" t="s">
        <v>132</v>
      </c>
      <c r="B136" s="30" t="s">
        <v>280</v>
      </c>
      <c r="C136" s="30" t="s">
        <v>281</v>
      </c>
      <c r="D136" s="31">
        <v>45092</v>
      </c>
      <c r="E136" s="32" t="s">
        <v>59</v>
      </c>
      <c r="F136" s="32" t="s">
        <v>282</v>
      </c>
      <c r="G136" s="31">
        <v>45132</v>
      </c>
      <c r="H136" s="61"/>
    </row>
    <row r="137" spans="1:8" ht="15" thickBot="1" x14ac:dyDescent="0.25">
      <c r="A137" s="14" t="s">
        <v>6</v>
      </c>
      <c r="B137" s="30" t="s">
        <v>283</v>
      </c>
      <c r="C137" s="30" t="s">
        <v>175</v>
      </c>
      <c r="D137" s="31">
        <v>45095</v>
      </c>
      <c r="E137" s="32" t="s">
        <v>59</v>
      </c>
      <c r="F137" s="31" t="s">
        <v>284</v>
      </c>
      <c r="G137" s="31">
        <v>45102</v>
      </c>
      <c r="H137" s="61"/>
    </row>
    <row r="138" spans="1:8" ht="15" hidden="1" thickBot="1" x14ac:dyDescent="0.25">
      <c r="A138" s="32" t="s">
        <v>67</v>
      </c>
      <c r="B138" s="30" t="s">
        <v>285</v>
      </c>
      <c r="C138" s="30" t="s">
        <v>13</v>
      </c>
      <c r="D138" s="31">
        <v>45097</v>
      </c>
      <c r="E138" s="32" t="s">
        <v>59</v>
      </c>
      <c r="F138" s="32" t="s">
        <v>286</v>
      </c>
      <c r="G138" s="31">
        <v>45100</v>
      </c>
      <c r="H138" s="61"/>
    </row>
    <row r="139" spans="1:8" ht="15" thickBot="1" x14ac:dyDescent="0.25">
      <c r="A139" s="14" t="s">
        <v>6</v>
      </c>
      <c r="B139" s="30" t="s">
        <v>287</v>
      </c>
      <c r="C139" s="30" t="s">
        <v>30</v>
      </c>
      <c r="D139" s="31">
        <v>45098</v>
      </c>
      <c r="E139" s="32" t="s">
        <v>6</v>
      </c>
      <c r="F139" s="32" t="s">
        <v>288</v>
      </c>
      <c r="G139" s="31">
        <v>45102</v>
      </c>
      <c r="H139" s="61"/>
    </row>
    <row r="140" spans="1:8" ht="15" hidden="1" thickBot="1" x14ac:dyDescent="0.25">
      <c r="A140" s="32" t="s">
        <v>699</v>
      </c>
      <c r="B140" s="30" t="s">
        <v>289</v>
      </c>
      <c r="C140" s="30" t="s">
        <v>290</v>
      </c>
      <c r="D140" s="31">
        <v>45098</v>
      </c>
      <c r="E140" s="32" t="s">
        <v>72</v>
      </c>
      <c r="F140" s="32"/>
      <c r="G140" s="31">
        <f>Tableau2[[#This Row],[16/02/2025]]</f>
        <v>45098</v>
      </c>
      <c r="H140" s="61" t="s">
        <v>291</v>
      </c>
    </row>
    <row r="141" spans="1:8" ht="15" hidden="1" thickBot="1" x14ac:dyDescent="0.25">
      <c r="A141" s="21" t="s">
        <v>132</v>
      </c>
      <c r="B141" s="30" t="s">
        <v>292</v>
      </c>
      <c r="C141" s="30" t="s">
        <v>266</v>
      </c>
      <c r="D141" s="31">
        <v>45006</v>
      </c>
      <c r="E141" s="32"/>
      <c r="F141" s="32"/>
      <c r="G141" s="31">
        <f>Tableau2[[#This Row],[16/02/2025]]</f>
        <v>45006</v>
      </c>
      <c r="H141" s="61" t="s">
        <v>293</v>
      </c>
    </row>
    <row r="142" spans="1:8" ht="15" hidden="1" thickBot="1" x14ac:dyDescent="0.25">
      <c r="A142" s="21" t="s">
        <v>132</v>
      </c>
      <c r="B142" s="30" t="s">
        <v>294</v>
      </c>
      <c r="C142" s="30" t="s">
        <v>266</v>
      </c>
      <c r="D142" s="31">
        <v>45103</v>
      </c>
      <c r="E142" s="32" t="s">
        <v>109</v>
      </c>
      <c r="F142" s="32" t="s">
        <v>295</v>
      </c>
      <c r="G142" s="31">
        <v>45103</v>
      </c>
      <c r="H142" s="61"/>
    </row>
    <row r="143" spans="1:8" ht="15" hidden="1" thickBot="1" x14ac:dyDescent="0.25">
      <c r="A143" s="21" t="s">
        <v>132</v>
      </c>
      <c r="B143" s="30" t="s">
        <v>296</v>
      </c>
      <c r="C143" s="30" t="s">
        <v>297</v>
      </c>
      <c r="D143" s="31">
        <v>45110</v>
      </c>
      <c r="E143" s="32" t="s">
        <v>59</v>
      </c>
      <c r="F143" s="31" t="s">
        <v>298</v>
      </c>
      <c r="G143" s="31">
        <v>45120</v>
      </c>
      <c r="H143" s="61"/>
    </row>
    <row r="144" spans="1:8" ht="29.25" hidden="1" thickBot="1" x14ac:dyDescent="0.25">
      <c r="A144" s="21" t="s">
        <v>11</v>
      </c>
      <c r="B144" s="30" t="s">
        <v>299</v>
      </c>
      <c r="C144" s="30" t="s">
        <v>300</v>
      </c>
      <c r="D144" s="31">
        <v>45120</v>
      </c>
      <c r="E144" s="32"/>
      <c r="F144" s="32"/>
      <c r="G144" s="31">
        <f>Tableau2[[#This Row],[16/02/2025]]</f>
        <v>45120</v>
      </c>
      <c r="H144" s="61" t="s">
        <v>301</v>
      </c>
    </row>
    <row r="145" spans="1:8" ht="15" hidden="1" thickBot="1" x14ac:dyDescent="0.25">
      <c r="A145" s="21" t="s">
        <v>11</v>
      </c>
      <c r="B145" s="30" t="s">
        <v>302</v>
      </c>
      <c r="C145" s="30" t="s">
        <v>303</v>
      </c>
      <c r="D145" s="31">
        <v>45123</v>
      </c>
      <c r="E145" s="32"/>
      <c r="F145" s="32"/>
      <c r="G145" s="31">
        <f>Tableau2[[#This Row],[16/02/2025]]</f>
        <v>45123</v>
      </c>
      <c r="H145" s="61" t="s">
        <v>304</v>
      </c>
    </row>
    <row r="146" spans="1:8" ht="29.25" hidden="1" thickBot="1" x14ac:dyDescent="0.25">
      <c r="A146" s="21" t="s">
        <v>132</v>
      </c>
      <c r="B146" s="30" t="s">
        <v>305</v>
      </c>
      <c r="C146" s="30" t="s">
        <v>306</v>
      </c>
      <c r="D146" s="31">
        <v>45123</v>
      </c>
      <c r="E146" s="32" t="s">
        <v>59</v>
      </c>
      <c r="F146" s="32" t="s">
        <v>307</v>
      </c>
      <c r="G146" s="31">
        <v>45004</v>
      </c>
      <c r="H146" s="61"/>
    </row>
    <row r="147" spans="1:8" ht="15" hidden="1" thickBot="1" x14ac:dyDescent="0.25">
      <c r="A147" s="32" t="s">
        <v>67</v>
      </c>
      <c r="B147" s="30" t="s">
        <v>308</v>
      </c>
      <c r="C147" s="30" t="s">
        <v>309</v>
      </c>
      <c r="D147" s="31">
        <v>45124</v>
      </c>
      <c r="E147" s="32" t="s">
        <v>67</v>
      </c>
      <c r="F147" s="32" t="s">
        <v>310</v>
      </c>
      <c r="G147" s="31">
        <v>45138</v>
      </c>
      <c r="H147" s="61"/>
    </row>
    <row r="148" spans="1:8" ht="15" hidden="1" thickBot="1" x14ac:dyDescent="0.25">
      <c r="A148" s="32" t="s">
        <v>699</v>
      </c>
      <c r="B148" s="30" t="s">
        <v>311</v>
      </c>
      <c r="C148" s="30" t="s">
        <v>58</v>
      </c>
      <c r="D148" s="31">
        <v>45130</v>
      </c>
      <c r="E148" s="31" t="s">
        <v>72</v>
      </c>
      <c r="F148" s="32" t="s">
        <v>312</v>
      </c>
      <c r="G148" s="31">
        <v>45008</v>
      </c>
      <c r="H148" s="61"/>
    </row>
    <row r="149" spans="1:8" ht="29.25" hidden="1" thickBot="1" x14ac:dyDescent="0.25">
      <c r="A149" s="21" t="s">
        <v>132</v>
      </c>
      <c r="B149" s="30" t="s">
        <v>313</v>
      </c>
      <c r="C149" s="30" t="s">
        <v>314</v>
      </c>
      <c r="D149" s="31">
        <v>45131</v>
      </c>
      <c r="E149" s="31"/>
      <c r="F149" s="32"/>
      <c r="G149" s="31">
        <f>Tableau2[[#This Row],[16/02/2025]]</f>
        <v>45131</v>
      </c>
      <c r="H149" s="61" t="s">
        <v>315</v>
      </c>
    </row>
    <row r="150" spans="1:8" ht="29.25" hidden="1" thickBot="1" x14ac:dyDescent="0.25">
      <c r="A150" s="21" t="s">
        <v>723</v>
      </c>
      <c r="B150" s="30" t="s">
        <v>316</v>
      </c>
      <c r="C150" s="30" t="s">
        <v>309</v>
      </c>
      <c r="D150" s="31">
        <v>45132</v>
      </c>
      <c r="E150" s="32" t="s">
        <v>59</v>
      </c>
      <c r="F150" s="32" t="s">
        <v>317</v>
      </c>
      <c r="G150" s="31">
        <v>45132</v>
      </c>
      <c r="H150" s="61" t="s">
        <v>318</v>
      </c>
    </row>
    <row r="151" spans="1:8" ht="15" hidden="1" thickBot="1" x14ac:dyDescent="0.25">
      <c r="A151" s="21" t="s">
        <v>723</v>
      </c>
      <c r="B151" s="30" t="s">
        <v>319</v>
      </c>
      <c r="C151" s="30" t="s">
        <v>320</v>
      </c>
      <c r="D151" s="31">
        <v>45138</v>
      </c>
      <c r="E151" s="32" t="s">
        <v>72</v>
      </c>
      <c r="F151" s="31" t="s">
        <v>321</v>
      </c>
      <c r="G151" s="31">
        <v>45138</v>
      </c>
      <c r="H151" s="61"/>
    </row>
    <row r="152" spans="1:8" ht="15" hidden="1" thickBot="1" x14ac:dyDescent="0.25">
      <c r="A152" s="21" t="s">
        <v>132</v>
      </c>
      <c r="B152" s="36" t="s">
        <v>296</v>
      </c>
      <c r="C152" s="36" t="s">
        <v>13</v>
      </c>
      <c r="D152" s="35">
        <v>45164</v>
      </c>
      <c r="E152" s="34" t="s">
        <v>59</v>
      </c>
      <c r="F152" s="34">
        <v>800</v>
      </c>
      <c r="G152" s="35">
        <v>45167</v>
      </c>
      <c r="H152" s="60"/>
    </row>
    <row r="153" spans="1:8" ht="15.75" hidden="1" thickBot="1" x14ac:dyDescent="0.25">
      <c r="A153" s="21" t="s">
        <v>132</v>
      </c>
      <c r="B153" s="30" t="s">
        <v>296</v>
      </c>
      <c r="C153" s="30" t="s">
        <v>155</v>
      </c>
      <c r="D153" s="31">
        <v>45293</v>
      </c>
      <c r="E153" s="32" t="s">
        <v>59</v>
      </c>
      <c r="F153" s="32">
        <v>1400</v>
      </c>
      <c r="G153" s="31">
        <v>45333</v>
      </c>
      <c r="H153" s="65"/>
    </row>
    <row r="154" spans="1:8" ht="15.75" hidden="1" thickBot="1" x14ac:dyDescent="0.25">
      <c r="A154" s="21" t="s">
        <v>132</v>
      </c>
      <c r="B154" s="30" t="s">
        <v>325</v>
      </c>
      <c r="C154" s="30" t="s">
        <v>335</v>
      </c>
      <c r="D154" s="31">
        <v>45293</v>
      </c>
      <c r="E154" s="32" t="s">
        <v>59</v>
      </c>
      <c r="F154" s="32">
        <v>488</v>
      </c>
      <c r="G154" s="31">
        <v>45299</v>
      </c>
      <c r="H154" s="65"/>
    </row>
    <row r="155" spans="1:8" ht="15.75" hidden="1" thickBot="1" x14ac:dyDescent="0.25">
      <c r="A155" s="21" t="s">
        <v>132</v>
      </c>
      <c r="B155" s="30" t="s">
        <v>336</v>
      </c>
      <c r="C155" s="30" t="s">
        <v>266</v>
      </c>
      <c r="D155" s="31">
        <v>45312</v>
      </c>
      <c r="E155" s="32" t="s">
        <v>72</v>
      </c>
      <c r="F155" s="32">
        <v>736</v>
      </c>
      <c r="G155" s="31">
        <v>45316</v>
      </c>
      <c r="H155" s="65"/>
    </row>
    <row r="156" spans="1:8" ht="29.25" hidden="1" thickBot="1" x14ac:dyDescent="0.25">
      <c r="A156" s="21" t="s">
        <v>132</v>
      </c>
      <c r="B156" s="30" t="s">
        <v>337</v>
      </c>
      <c r="C156" s="30" t="s">
        <v>338</v>
      </c>
      <c r="D156" s="31">
        <v>45322</v>
      </c>
      <c r="E156" s="42"/>
      <c r="F156" s="42"/>
      <c r="G156" s="31">
        <f>Tableau2[[#This Row],[16/02/2025]]</f>
        <v>45322</v>
      </c>
      <c r="H156" s="66" t="s">
        <v>339</v>
      </c>
    </row>
    <row r="157" spans="1:8" ht="15" hidden="1" thickBot="1" x14ac:dyDescent="0.25">
      <c r="A157" s="21" t="s">
        <v>132</v>
      </c>
      <c r="B157" s="30" t="s">
        <v>326</v>
      </c>
      <c r="C157" s="30" t="s">
        <v>340</v>
      </c>
      <c r="D157" s="31">
        <v>45328</v>
      </c>
      <c r="E157" s="32" t="s">
        <v>59</v>
      </c>
      <c r="F157" s="32">
        <v>110</v>
      </c>
      <c r="G157" s="31">
        <v>45376</v>
      </c>
      <c r="H157" s="67"/>
    </row>
    <row r="158" spans="1:8" ht="15" hidden="1" thickBot="1" x14ac:dyDescent="0.25">
      <c r="A158" s="21" t="s">
        <v>132</v>
      </c>
      <c r="B158" s="30" t="s">
        <v>341</v>
      </c>
      <c r="C158" s="30" t="s">
        <v>342</v>
      </c>
      <c r="D158" s="31">
        <v>45363</v>
      </c>
      <c r="E158" s="32" t="s">
        <v>59</v>
      </c>
      <c r="F158" s="32">
        <v>60</v>
      </c>
      <c r="G158" s="31">
        <v>45364</v>
      </c>
      <c r="H158" s="67"/>
    </row>
    <row r="159" spans="1:8" ht="15.75" hidden="1" thickBot="1" x14ac:dyDescent="0.25">
      <c r="A159" s="21" t="s">
        <v>132</v>
      </c>
      <c r="B159" s="30" t="s">
        <v>343</v>
      </c>
      <c r="C159" s="30" t="s">
        <v>344</v>
      </c>
      <c r="D159" s="31">
        <v>45368</v>
      </c>
      <c r="E159" s="42"/>
      <c r="F159" s="42"/>
      <c r="G159" s="31">
        <f>Tableau2[[#This Row],[16/02/2025]]</f>
        <v>45368</v>
      </c>
      <c r="H159" s="66" t="s">
        <v>345</v>
      </c>
    </row>
    <row r="160" spans="1:8" ht="15" hidden="1" thickBot="1" x14ac:dyDescent="0.25">
      <c r="A160" s="21" t="s">
        <v>132</v>
      </c>
      <c r="B160" s="30" t="s">
        <v>346</v>
      </c>
      <c r="C160" s="30" t="s">
        <v>347</v>
      </c>
      <c r="D160" s="31">
        <v>45368</v>
      </c>
      <c r="E160" s="32" t="s">
        <v>109</v>
      </c>
      <c r="F160" s="32">
        <v>7</v>
      </c>
      <c r="G160" s="31">
        <v>45375</v>
      </c>
      <c r="H160" s="61"/>
    </row>
    <row r="161" spans="1:8" ht="15" hidden="1" thickBot="1" x14ac:dyDescent="0.25">
      <c r="A161" s="21" t="s">
        <v>132</v>
      </c>
      <c r="B161" s="30" t="s">
        <v>348</v>
      </c>
      <c r="C161" s="30" t="s">
        <v>349</v>
      </c>
      <c r="D161" s="31">
        <v>45378</v>
      </c>
      <c r="E161" s="32" t="s">
        <v>72</v>
      </c>
      <c r="F161" s="32">
        <v>70</v>
      </c>
      <c r="G161" s="31">
        <v>45379</v>
      </c>
      <c r="H161" s="61"/>
    </row>
    <row r="162" spans="1:8" ht="29.25" hidden="1" thickBot="1" x14ac:dyDescent="0.25">
      <c r="A162" s="21" t="s">
        <v>132</v>
      </c>
      <c r="B162" s="30" t="s">
        <v>350</v>
      </c>
      <c r="C162" s="30" t="s">
        <v>351</v>
      </c>
      <c r="D162" s="31">
        <v>45399</v>
      </c>
      <c r="E162" s="32" t="s">
        <v>59</v>
      </c>
      <c r="F162" s="32">
        <v>1790</v>
      </c>
      <c r="G162" s="31">
        <v>45449</v>
      </c>
      <c r="H162" s="61"/>
    </row>
    <row r="163" spans="1:8" ht="29.25" hidden="1" thickBot="1" x14ac:dyDescent="0.25">
      <c r="A163" s="21" t="s">
        <v>132</v>
      </c>
      <c r="B163" s="30" t="s">
        <v>352</v>
      </c>
      <c r="C163" s="30" t="s">
        <v>353</v>
      </c>
      <c r="D163" s="31">
        <v>45424</v>
      </c>
      <c r="E163" s="32" t="s">
        <v>59</v>
      </c>
      <c r="F163" s="32"/>
      <c r="G163" s="31">
        <f>Tableau2[[#This Row],[16/02/2025]]</f>
        <v>45424</v>
      </c>
      <c r="H163" s="61"/>
    </row>
    <row r="164" spans="1:8" ht="15" hidden="1" thickBot="1" x14ac:dyDescent="0.25">
      <c r="A164" s="21" t="s">
        <v>132</v>
      </c>
      <c r="B164" s="30" t="s">
        <v>336</v>
      </c>
      <c r="C164" s="30" t="s">
        <v>162</v>
      </c>
      <c r="D164" s="31">
        <v>45424</v>
      </c>
      <c r="E164" s="32" t="s">
        <v>72</v>
      </c>
      <c r="F164" s="32">
        <v>5</v>
      </c>
      <c r="G164" s="31">
        <v>45424</v>
      </c>
      <c r="H164" s="61"/>
    </row>
    <row r="165" spans="1:8" ht="15" hidden="1" thickBot="1" x14ac:dyDescent="0.25">
      <c r="A165" s="21" t="s">
        <v>132</v>
      </c>
      <c r="B165" s="30" t="s">
        <v>354</v>
      </c>
      <c r="C165" s="30" t="s">
        <v>355</v>
      </c>
      <c r="D165" s="31">
        <v>45488</v>
      </c>
      <c r="E165" s="32" t="s">
        <v>109</v>
      </c>
      <c r="F165" s="32">
        <v>187</v>
      </c>
      <c r="G165" s="31">
        <v>45429</v>
      </c>
      <c r="H165" s="61"/>
    </row>
    <row r="166" spans="1:8" ht="15" hidden="1" thickBot="1" x14ac:dyDescent="0.25">
      <c r="A166" s="21" t="s">
        <v>132</v>
      </c>
      <c r="B166" s="30" t="s">
        <v>322</v>
      </c>
      <c r="C166" s="30" t="s">
        <v>340</v>
      </c>
      <c r="D166" s="31">
        <v>45502</v>
      </c>
      <c r="E166" s="32" t="s">
        <v>109</v>
      </c>
      <c r="F166" s="32">
        <v>246</v>
      </c>
      <c r="G166" s="31">
        <v>45503</v>
      </c>
      <c r="H166" s="61"/>
    </row>
    <row r="167" spans="1:8" ht="15" hidden="1" thickBot="1" x14ac:dyDescent="0.25">
      <c r="A167" s="21" t="s">
        <v>132</v>
      </c>
      <c r="B167" s="30" t="s">
        <v>336</v>
      </c>
      <c r="C167" s="30" t="s">
        <v>356</v>
      </c>
      <c r="D167" s="31">
        <v>45515</v>
      </c>
      <c r="E167" s="32" t="s">
        <v>72</v>
      </c>
      <c r="F167" s="32">
        <v>4620</v>
      </c>
      <c r="G167" s="31">
        <v>45518</v>
      </c>
      <c r="H167" s="61"/>
    </row>
    <row r="168" spans="1:8" ht="15" hidden="1" thickBot="1" x14ac:dyDescent="0.25">
      <c r="A168" s="21" t="s">
        <v>132</v>
      </c>
      <c r="B168" s="30" t="s">
        <v>357</v>
      </c>
      <c r="C168" s="30" t="s">
        <v>358</v>
      </c>
      <c r="D168" s="31">
        <v>45522</v>
      </c>
      <c r="E168" s="32" t="s">
        <v>59</v>
      </c>
      <c r="F168" s="32">
        <v>780</v>
      </c>
      <c r="G168" s="31">
        <v>45563</v>
      </c>
      <c r="H168" s="61"/>
    </row>
    <row r="169" spans="1:8" ht="15" hidden="1" thickBot="1" x14ac:dyDescent="0.25">
      <c r="A169" s="21" t="s">
        <v>132</v>
      </c>
      <c r="B169" s="30" t="s">
        <v>359</v>
      </c>
      <c r="C169" s="30" t="s">
        <v>360</v>
      </c>
      <c r="D169" s="31">
        <v>45547</v>
      </c>
      <c r="E169" s="32" t="s">
        <v>109</v>
      </c>
      <c r="F169" s="32">
        <v>340</v>
      </c>
      <c r="G169" s="31">
        <v>45557</v>
      </c>
      <c r="H169" s="61"/>
    </row>
    <row r="170" spans="1:8" ht="15.75" hidden="1" thickBot="1" x14ac:dyDescent="0.25">
      <c r="A170" s="21" t="s">
        <v>132</v>
      </c>
      <c r="B170" s="30" t="s">
        <v>361</v>
      </c>
      <c r="C170" s="30" t="s">
        <v>362</v>
      </c>
      <c r="D170" s="31">
        <v>45582</v>
      </c>
      <c r="E170" s="42" t="s">
        <v>363</v>
      </c>
      <c r="F170" s="32"/>
      <c r="G170" s="31">
        <f>Tableau2[[#This Row],[16/02/2025]]</f>
        <v>45582</v>
      </c>
      <c r="H170" s="61"/>
    </row>
    <row r="171" spans="1:8" ht="15" hidden="1" thickBot="1" x14ac:dyDescent="0.25">
      <c r="A171" s="21" t="s">
        <v>132</v>
      </c>
      <c r="B171" s="30" t="s">
        <v>364</v>
      </c>
      <c r="C171" s="30" t="s">
        <v>8</v>
      </c>
      <c r="D171" s="31">
        <v>45582</v>
      </c>
      <c r="E171" s="32" t="s">
        <v>109</v>
      </c>
      <c r="F171" s="32">
        <v>1.2</v>
      </c>
      <c r="G171" s="31">
        <v>45583</v>
      </c>
      <c r="H171" s="61"/>
    </row>
    <row r="172" spans="1:8" ht="15.75" hidden="1" thickBot="1" x14ac:dyDescent="0.25">
      <c r="A172" s="21" t="s">
        <v>132</v>
      </c>
      <c r="B172" s="30" t="s">
        <v>365</v>
      </c>
      <c r="C172" s="30" t="s">
        <v>366</v>
      </c>
      <c r="D172" s="31">
        <v>45601</v>
      </c>
      <c r="E172" s="42" t="s">
        <v>363</v>
      </c>
      <c r="F172" s="32"/>
      <c r="G172" s="31">
        <f>Tableau2[[#This Row],[16/02/2025]]</f>
        <v>45601</v>
      </c>
      <c r="H172" s="61"/>
    </row>
    <row r="173" spans="1:8" ht="15" thickBot="1" x14ac:dyDescent="0.25">
      <c r="A173" s="14" t="s">
        <v>6</v>
      </c>
      <c r="B173" s="30" t="s">
        <v>367</v>
      </c>
      <c r="C173" s="30" t="s">
        <v>368</v>
      </c>
      <c r="D173" s="31">
        <v>45326</v>
      </c>
      <c r="E173" s="32" t="s">
        <v>59</v>
      </c>
      <c r="F173" s="32" t="s">
        <v>221</v>
      </c>
      <c r="G173" s="31">
        <v>45328</v>
      </c>
      <c r="H173" s="61" t="s">
        <v>369</v>
      </c>
    </row>
    <row r="174" spans="1:8" ht="15" thickBot="1" x14ac:dyDescent="0.25">
      <c r="A174" s="14" t="s">
        <v>6</v>
      </c>
      <c r="B174" s="30" t="s">
        <v>370</v>
      </c>
      <c r="C174" s="30" t="s">
        <v>371</v>
      </c>
      <c r="D174" s="31">
        <v>45329</v>
      </c>
      <c r="E174" s="32" t="s">
        <v>109</v>
      </c>
      <c r="F174" s="32">
        <v>0.87</v>
      </c>
      <c r="G174" s="31">
        <v>45329</v>
      </c>
      <c r="H174" s="61"/>
    </row>
    <row r="175" spans="1:8" ht="15" thickBot="1" x14ac:dyDescent="0.25">
      <c r="A175" s="14" t="s">
        <v>6</v>
      </c>
      <c r="B175" s="30" t="s">
        <v>372</v>
      </c>
      <c r="C175" s="30" t="s">
        <v>373</v>
      </c>
      <c r="D175" s="31">
        <v>45336</v>
      </c>
      <c r="E175" s="32" t="s">
        <v>59</v>
      </c>
      <c r="F175" s="32"/>
      <c r="G175" s="31"/>
      <c r="H175" s="61" t="s">
        <v>167</v>
      </c>
    </row>
    <row r="176" spans="1:8" ht="15" thickBot="1" x14ac:dyDescent="0.25">
      <c r="A176" s="14" t="s">
        <v>6</v>
      </c>
      <c r="B176" s="30" t="s">
        <v>374</v>
      </c>
      <c r="C176" s="30" t="s">
        <v>375</v>
      </c>
      <c r="D176" s="31">
        <v>45365</v>
      </c>
      <c r="E176" s="32" t="s">
        <v>72</v>
      </c>
      <c r="F176" s="32">
        <v>103</v>
      </c>
      <c r="G176" s="31">
        <v>45370</v>
      </c>
      <c r="H176" s="61"/>
    </row>
    <row r="177" spans="1:8" ht="29.25" thickBot="1" x14ac:dyDescent="0.25">
      <c r="A177" s="14" t="s">
        <v>6</v>
      </c>
      <c r="B177" s="30" t="s">
        <v>376</v>
      </c>
      <c r="C177" s="30" t="s">
        <v>377</v>
      </c>
      <c r="D177" s="31">
        <v>45365</v>
      </c>
      <c r="E177" s="32" t="s">
        <v>109</v>
      </c>
      <c r="F177" s="32">
        <v>3.05</v>
      </c>
      <c r="G177" s="31">
        <v>45370</v>
      </c>
      <c r="H177" s="61"/>
    </row>
    <row r="178" spans="1:8" ht="15" thickBot="1" x14ac:dyDescent="0.25">
      <c r="A178" s="14" t="s">
        <v>6</v>
      </c>
      <c r="B178" s="30" t="s">
        <v>378</v>
      </c>
      <c r="C178" s="30" t="s">
        <v>379</v>
      </c>
      <c r="D178" s="31">
        <v>45376</v>
      </c>
      <c r="E178" s="32" t="s">
        <v>59</v>
      </c>
      <c r="F178" s="32" t="s">
        <v>380</v>
      </c>
      <c r="G178" s="31">
        <v>45379</v>
      </c>
      <c r="H178" s="61"/>
    </row>
    <row r="179" spans="1:8" ht="29.25" thickBot="1" x14ac:dyDescent="0.25">
      <c r="A179" s="14" t="s">
        <v>6</v>
      </c>
      <c r="B179" s="30" t="s">
        <v>381</v>
      </c>
      <c r="C179" s="30" t="s">
        <v>382</v>
      </c>
      <c r="D179" s="31">
        <v>45399</v>
      </c>
      <c r="E179" s="32" t="s">
        <v>72</v>
      </c>
      <c r="F179" s="32">
        <v>120</v>
      </c>
      <c r="G179" s="31">
        <v>45442</v>
      </c>
      <c r="H179" s="61"/>
    </row>
    <row r="180" spans="1:8" ht="15" thickBot="1" x14ac:dyDescent="0.25">
      <c r="A180" s="14" t="s">
        <v>6</v>
      </c>
      <c r="B180" s="30" t="s">
        <v>383</v>
      </c>
      <c r="C180" s="30" t="s">
        <v>46</v>
      </c>
      <c r="D180" s="31">
        <v>45403</v>
      </c>
      <c r="E180" s="32" t="s">
        <v>109</v>
      </c>
      <c r="F180" s="32">
        <v>0.55000000000000004</v>
      </c>
      <c r="G180" s="31">
        <v>45406</v>
      </c>
      <c r="H180" s="61"/>
    </row>
    <row r="181" spans="1:8" ht="15" thickBot="1" x14ac:dyDescent="0.25">
      <c r="A181" s="14" t="s">
        <v>6</v>
      </c>
      <c r="B181" s="30" t="s">
        <v>336</v>
      </c>
      <c r="C181" s="30" t="s">
        <v>384</v>
      </c>
      <c r="D181" s="31">
        <v>45426</v>
      </c>
      <c r="E181" s="32" t="s">
        <v>72</v>
      </c>
      <c r="F181" s="32">
        <v>800</v>
      </c>
      <c r="G181" s="31">
        <v>45427</v>
      </c>
      <c r="H181" s="61"/>
    </row>
    <row r="182" spans="1:8" ht="15" thickBot="1" x14ac:dyDescent="0.25">
      <c r="A182" s="14" t="s">
        <v>6</v>
      </c>
      <c r="B182" s="30" t="s">
        <v>385</v>
      </c>
      <c r="C182" s="30" t="s">
        <v>347</v>
      </c>
      <c r="D182" s="31">
        <v>45435</v>
      </c>
      <c r="E182" s="32" t="s">
        <v>72</v>
      </c>
      <c r="F182" s="32">
        <v>132</v>
      </c>
      <c r="G182" s="31">
        <v>45076</v>
      </c>
      <c r="H182" s="61"/>
    </row>
    <row r="183" spans="1:8" ht="15" thickBot="1" x14ac:dyDescent="0.25">
      <c r="A183" s="14" t="s">
        <v>6</v>
      </c>
      <c r="B183" s="30" t="s">
        <v>386</v>
      </c>
      <c r="C183" s="30" t="s">
        <v>387</v>
      </c>
      <c r="D183" s="31">
        <v>45435</v>
      </c>
      <c r="E183" s="32" t="s">
        <v>109</v>
      </c>
      <c r="F183" s="32">
        <v>0.95</v>
      </c>
      <c r="G183" s="31">
        <v>45442</v>
      </c>
      <c r="H183" s="61"/>
    </row>
    <row r="184" spans="1:8" ht="15" thickBot="1" x14ac:dyDescent="0.25">
      <c r="A184" s="14" t="s">
        <v>6</v>
      </c>
      <c r="B184" s="30" t="s">
        <v>388</v>
      </c>
      <c r="C184" s="30" t="s">
        <v>389</v>
      </c>
      <c r="D184" s="31">
        <v>45440</v>
      </c>
      <c r="E184" s="32" t="s">
        <v>72</v>
      </c>
      <c r="F184" s="32">
        <v>60</v>
      </c>
      <c r="G184" s="31">
        <v>45442</v>
      </c>
      <c r="H184" s="61"/>
    </row>
    <row r="185" spans="1:8" ht="15" thickBot="1" x14ac:dyDescent="0.25">
      <c r="A185" s="14" t="s">
        <v>6</v>
      </c>
      <c r="B185" s="30" t="s">
        <v>390</v>
      </c>
      <c r="C185" s="30" t="s">
        <v>377</v>
      </c>
      <c r="D185" s="31">
        <v>45440</v>
      </c>
      <c r="E185" s="32" t="s">
        <v>109</v>
      </c>
      <c r="F185" s="32">
        <v>1.5</v>
      </c>
      <c r="G185" s="31">
        <v>45442</v>
      </c>
      <c r="H185" s="61"/>
    </row>
    <row r="186" spans="1:8" ht="29.25" thickBot="1" x14ac:dyDescent="0.25">
      <c r="A186" s="14" t="s">
        <v>6</v>
      </c>
      <c r="B186" s="30" t="s">
        <v>391</v>
      </c>
      <c r="C186" s="30" t="s">
        <v>392</v>
      </c>
      <c r="D186" s="31">
        <v>45445</v>
      </c>
      <c r="E186" s="32" t="s">
        <v>59</v>
      </c>
      <c r="F186" s="32">
        <v>250</v>
      </c>
      <c r="G186" s="31">
        <v>45445</v>
      </c>
      <c r="H186" s="61"/>
    </row>
    <row r="187" spans="1:8" ht="15" thickBot="1" x14ac:dyDescent="0.25">
      <c r="A187" s="14" t="s">
        <v>6</v>
      </c>
      <c r="B187" s="30" t="s">
        <v>393</v>
      </c>
      <c r="C187" s="30" t="s">
        <v>394</v>
      </c>
      <c r="D187" s="31">
        <v>45446</v>
      </c>
      <c r="E187" s="32" t="s">
        <v>59</v>
      </c>
      <c r="F187" s="32">
        <v>174</v>
      </c>
      <c r="G187" s="31">
        <v>45447</v>
      </c>
      <c r="H187" s="61"/>
    </row>
    <row r="188" spans="1:8" ht="15" thickBot="1" x14ac:dyDescent="0.25">
      <c r="A188" s="14" t="s">
        <v>6</v>
      </c>
      <c r="B188" s="30" t="s">
        <v>395</v>
      </c>
      <c r="C188" s="30" t="s">
        <v>396</v>
      </c>
      <c r="D188" s="31">
        <v>45452</v>
      </c>
      <c r="E188" s="31" t="s">
        <v>59</v>
      </c>
      <c r="F188" s="32">
        <v>35</v>
      </c>
      <c r="G188" s="31">
        <v>45452</v>
      </c>
      <c r="H188" s="61"/>
    </row>
    <row r="189" spans="1:8" ht="15.75" thickBot="1" x14ac:dyDescent="0.25">
      <c r="A189" s="14" t="s">
        <v>6</v>
      </c>
      <c r="B189" s="30" t="s">
        <v>397</v>
      </c>
      <c r="C189" s="7" t="s">
        <v>71</v>
      </c>
      <c r="D189" s="31">
        <v>45453</v>
      </c>
      <c r="E189" s="31" t="s">
        <v>59</v>
      </c>
      <c r="F189" s="32" t="s">
        <v>221</v>
      </c>
      <c r="G189" s="31">
        <v>45456</v>
      </c>
      <c r="H189" s="61"/>
    </row>
    <row r="190" spans="1:8" ht="15.75" thickBot="1" x14ac:dyDescent="0.25">
      <c r="A190" s="14" t="s">
        <v>6</v>
      </c>
      <c r="B190" s="30" t="s">
        <v>398</v>
      </c>
      <c r="C190" s="7" t="s">
        <v>103</v>
      </c>
      <c r="D190" s="31">
        <v>45453</v>
      </c>
      <c r="E190" s="31" t="s">
        <v>59</v>
      </c>
      <c r="F190" s="32">
        <v>16</v>
      </c>
      <c r="G190" s="31">
        <v>45469</v>
      </c>
      <c r="H190" s="61"/>
    </row>
    <row r="191" spans="1:8" ht="15.75" thickBot="1" x14ac:dyDescent="0.25">
      <c r="A191" s="14" t="s">
        <v>6</v>
      </c>
      <c r="B191" s="30" t="s">
        <v>399</v>
      </c>
      <c r="C191" s="7" t="s">
        <v>400</v>
      </c>
      <c r="D191" s="31">
        <v>45470</v>
      </c>
      <c r="E191" s="31" t="s">
        <v>401</v>
      </c>
      <c r="F191" s="32">
        <v>0.01</v>
      </c>
      <c r="G191" s="31">
        <v>45470</v>
      </c>
      <c r="H191" s="61"/>
    </row>
    <row r="192" spans="1:8" ht="15.75" thickBot="1" x14ac:dyDescent="0.25">
      <c r="A192" s="14" t="s">
        <v>6</v>
      </c>
      <c r="B192" s="30" t="s">
        <v>402</v>
      </c>
      <c r="C192" s="7" t="s">
        <v>30</v>
      </c>
      <c r="D192" s="31">
        <v>45487</v>
      </c>
      <c r="E192" s="31" t="s">
        <v>59</v>
      </c>
      <c r="F192" s="32">
        <v>150</v>
      </c>
      <c r="G192" s="31">
        <v>45498</v>
      </c>
      <c r="H192" s="61"/>
    </row>
    <row r="193" spans="1:8" ht="15.75" thickBot="1" x14ac:dyDescent="0.25">
      <c r="A193" s="14" t="s">
        <v>6</v>
      </c>
      <c r="B193" s="30" t="s">
        <v>403</v>
      </c>
      <c r="C193" s="7" t="s">
        <v>404</v>
      </c>
      <c r="D193" s="31">
        <v>45496</v>
      </c>
      <c r="E193" s="31" t="s">
        <v>109</v>
      </c>
      <c r="F193" s="32">
        <v>24</v>
      </c>
      <c r="G193" s="31">
        <v>45503</v>
      </c>
      <c r="H193" s="61"/>
    </row>
    <row r="194" spans="1:8" ht="15.75" thickBot="1" x14ac:dyDescent="0.25">
      <c r="A194" s="14" t="s">
        <v>6</v>
      </c>
      <c r="B194" s="30" t="s">
        <v>397</v>
      </c>
      <c r="C194" s="7" t="s">
        <v>266</v>
      </c>
      <c r="D194" s="31">
        <v>45497</v>
      </c>
      <c r="E194" s="31" t="s">
        <v>109</v>
      </c>
      <c r="F194" s="32">
        <v>29</v>
      </c>
      <c r="G194" s="31">
        <v>45502</v>
      </c>
      <c r="H194" s="61"/>
    </row>
    <row r="195" spans="1:8" ht="15.75" thickBot="1" x14ac:dyDescent="0.25">
      <c r="A195" s="14" t="s">
        <v>6</v>
      </c>
      <c r="B195" s="30" t="s">
        <v>405</v>
      </c>
      <c r="C195" s="7" t="s">
        <v>406</v>
      </c>
      <c r="D195" s="31">
        <v>45497</v>
      </c>
      <c r="E195" s="31" t="s">
        <v>109</v>
      </c>
      <c r="F195" s="32">
        <v>1.6</v>
      </c>
      <c r="G195" s="31">
        <v>45502</v>
      </c>
      <c r="H195" s="61"/>
    </row>
    <row r="196" spans="1:8" ht="15.75" thickBot="1" x14ac:dyDescent="0.25">
      <c r="A196" s="14" t="s">
        <v>6</v>
      </c>
      <c r="B196" s="30" t="s">
        <v>407</v>
      </c>
      <c r="C196" s="7" t="s">
        <v>408</v>
      </c>
      <c r="D196" s="31">
        <v>45497</v>
      </c>
      <c r="E196" s="31" t="s">
        <v>109</v>
      </c>
      <c r="F196" s="32">
        <v>1.2</v>
      </c>
      <c r="G196" s="31">
        <v>45501</v>
      </c>
      <c r="H196" s="61"/>
    </row>
    <row r="197" spans="1:8" ht="15.75" thickBot="1" x14ac:dyDescent="0.25">
      <c r="A197" s="14" t="s">
        <v>6</v>
      </c>
      <c r="B197" s="30" t="s">
        <v>409</v>
      </c>
      <c r="C197" s="7" t="s">
        <v>410</v>
      </c>
      <c r="D197" s="31">
        <v>45526</v>
      </c>
      <c r="E197" s="31" t="s">
        <v>109</v>
      </c>
      <c r="F197" s="32">
        <v>0.25</v>
      </c>
      <c r="G197" s="31">
        <v>45529</v>
      </c>
      <c r="H197" s="61"/>
    </row>
    <row r="198" spans="1:8" ht="29.25" thickBot="1" x14ac:dyDescent="0.25">
      <c r="A198" s="14" t="s">
        <v>6</v>
      </c>
      <c r="B198" s="30" t="s">
        <v>411</v>
      </c>
      <c r="C198" s="7" t="s">
        <v>266</v>
      </c>
      <c r="D198" s="31">
        <v>45526</v>
      </c>
      <c r="E198" s="31" t="s">
        <v>109</v>
      </c>
      <c r="F198" s="32">
        <v>0.15</v>
      </c>
      <c r="G198" s="31">
        <v>45529</v>
      </c>
      <c r="H198" s="61"/>
    </row>
    <row r="199" spans="1:8" ht="15.75" thickBot="1" x14ac:dyDescent="0.25">
      <c r="A199" s="14" t="s">
        <v>6</v>
      </c>
      <c r="B199" s="30" t="s">
        <v>412</v>
      </c>
      <c r="C199" s="7" t="s">
        <v>266</v>
      </c>
      <c r="D199" s="31">
        <v>45530</v>
      </c>
      <c r="E199" s="31" t="s">
        <v>109</v>
      </c>
      <c r="F199" s="32">
        <v>0.24</v>
      </c>
      <c r="G199" s="31">
        <v>45531</v>
      </c>
      <c r="H199" s="61"/>
    </row>
    <row r="200" spans="1:8" ht="15.75" thickBot="1" x14ac:dyDescent="0.25">
      <c r="A200" s="14" t="s">
        <v>6</v>
      </c>
      <c r="B200" s="30" t="s">
        <v>413</v>
      </c>
      <c r="C200" s="7" t="s">
        <v>414</v>
      </c>
      <c r="D200" s="31">
        <v>45533</v>
      </c>
      <c r="E200" s="31" t="s">
        <v>109</v>
      </c>
      <c r="F200" s="32">
        <v>0.8</v>
      </c>
      <c r="G200" s="31">
        <v>45533</v>
      </c>
      <c r="H200" s="61"/>
    </row>
    <row r="201" spans="1:8" ht="15.75" thickBot="1" x14ac:dyDescent="0.25">
      <c r="A201" s="14" t="s">
        <v>6</v>
      </c>
      <c r="B201" s="30" t="s">
        <v>249</v>
      </c>
      <c r="C201" s="7" t="s">
        <v>415</v>
      </c>
      <c r="D201" s="31">
        <v>45565</v>
      </c>
      <c r="E201" s="31" t="s">
        <v>59</v>
      </c>
      <c r="F201" s="32">
        <v>1910</v>
      </c>
      <c r="G201" s="31">
        <v>45594</v>
      </c>
      <c r="H201" s="61"/>
    </row>
    <row r="202" spans="1:8" ht="15.75" thickBot="1" x14ac:dyDescent="0.25">
      <c r="A202" s="14" t="s">
        <v>6</v>
      </c>
      <c r="B202" s="30" t="s">
        <v>416</v>
      </c>
      <c r="C202" s="7" t="s">
        <v>417</v>
      </c>
      <c r="D202" s="31">
        <v>45565</v>
      </c>
      <c r="E202" s="31" t="s">
        <v>59</v>
      </c>
      <c r="F202" s="32">
        <v>420</v>
      </c>
      <c r="G202" s="31">
        <v>45588</v>
      </c>
      <c r="H202" s="61"/>
    </row>
    <row r="203" spans="1:8" ht="15.75" thickBot="1" x14ac:dyDescent="0.25">
      <c r="A203" s="14" t="s">
        <v>6</v>
      </c>
      <c r="B203" s="30" t="s">
        <v>372</v>
      </c>
      <c r="C203" s="7" t="s">
        <v>418</v>
      </c>
      <c r="D203" s="31">
        <v>45566</v>
      </c>
      <c r="E203" s="31" t="s">
        <v>109</v>
      </c>
      <c r="F203" s="32">
        <v>1120</v>
      </c>
      <c r="G203" s="31">
        <v>45588</v>
      </c>
      <c r="H203" s="61"/>
    </row>
    <row r="204" spans="1:8" ht="15.75" thickBot="1" x14ac:dyDescent="0.25">
      <c r="A204" s="14" t="s">
        <v>6</v>
      </c>
      <c r="B204" s="30" t="s">
        <v>419</v>
      </c>
      <c r="C204" s="7" t="s">
        <v>420</v>
      </c>
      <c r="D204" s="31">
        <v>45599</v>
      </c>
      <c r="E204" s="31" t="s">
        <v>109</v>
      </c>
      <c r="F204" s="32">
        <v>1</v>
      </c>
      <c r="G204" s="31">
        <v>45600</v>
      </c>
      <c r="H204" s="61"/>
    </row>
    <row r="205" spans="1:8" ht="15.75" thickBot="1" x14ac:dyDescent="0.25">
      <c r="A205" s="14" t="s">
        <v>6</v>
      </c>
      <c r="B205" s="30" t="s">
        <v>372</v>
      </c>
      <c r="C205" s="7" t="s">
        <v>332</v>
      </c>
      <c r="D205" s="31">
        <v>45602</v>
      </c>
      <c r="E205" s="31" t="s">
        <v>72</v>
      </c>
      <c r="F205" s="32">
        <v>0.65</v>
      </c>
      <c r="G205" s="31">
        <v>45602</v>
      </c>
      <c r="H205" s="61"/>
    </row>
    <row r="206" spans="1:8" ht="15.75" thickBot="1" x14ac:dyDescent="0.25">
      <c r="A206" s="14" t="s">
        <v>6</v>
      </c>
      <c r="B206" s="30" t="s">
        <v>421</v>
      </c>
      <c r="C206" s="7" t="s">
        <v>8</v>
      </c>
      <c r="D206" s="31">
        <v>45603</v>
      </c>
      <c r="E206" s="31" t="s">
        <v>109</v>
      </c>
      <c r="F206" s="32">
        <v>0.72</v>
      </c>
      <c r="G206" s="31">
        <v>45603</v>
      </c>
      <c r="H206" s="61"/>
    </row>
    <row r="207" spans="1:8" ht="15.75" thickBot="1" x14ac:dyDescent="0.25">
      <c r="A207" s="14" t="s">
        <v>6</v>
      </c>
      <c r="B207" s="30" t="s">
        <v>422</v>
      </c>
      <c r="C207" s="7" t="s">
        <v>423</v>
      </c>
      <c r="D207" s="31">
        <v>45627</v>
      </c>
      <c r="E207" s="31" t="s">
        <v>59</v>
      </c>
      <c r="F207" s="32">
        <v>1.2</v>
      </c>
      <c r="G207" s="31">
        <v>45628</v>
      </c>
      <c r="H207" s="61"/>
    </row>
    <row r="208" spans="1:8" ht="15.75" thickBot="1" x14ac:dyDescent="0.25">
      <c r="A208" s="14" t="s">
        <v>6</v>
      </c>
      <c r="B208" s="30" t="s">
        <v>336</v>
      </c>
      <c r="C208" s="7" t="s">
        <v>424</v>
      </c>
      <c r="D208" s="31">
        <v>45627</v>
      </c>
      <c r="E208" s="31" t="s">
        <v>72</v>
      </c>
      <c r="F208" s="32">
        <v>785</v>
      </c>
      <c r="G208" s="31">
        <v>45629</v>
      </c>
      <c r="H208" s="61"/>
    </row>
    <row r="209" spans="1:8" ht="15" thickBot="1" x14ac:dyDescent="0.25">
      <c r="A209" s="14" t="s">
        <v>6</v>
      </c>
      <c r="B209" s="30" t="s">
        <v>425</v>
      </c>
      <c r="C209" s="30" t="s">
        <v>426</v>
      </c>
      <c r="D209" s="31">
        <v>45630</v>
      </c>
      <c r="E209" s="31" t="s">
        <v>109</v>
      </c>
      <c r="F209" s="32">
        <v>1</v>
      </c>
      <c r="G209" s="31">
        <v>45632</v>
      </c>
      <c r="H209" s="61"/>
    </row>
    <row r="210" spans="1:8" ht="15.75" thickBot="1" x14ac:dyDescent="0.25">
      <c r="A210" s="14" t="s">
        <v>6</v>
      </c>
      <c r="B210" s="30" t="s">
        <v>427</v>
      </c>
      <c r="C210" s="7" t="s">
        <v>30</v>
      </c>
      <c r="D210" s="31">
        <v>45630</v>
      </c>
      <c r="E210" s="31" t="s">
        <v>109</v>
      </c>
      <c r="F210" s="32">
        <v>50</v>
      </c>
      <c r="G210" s="31">
        <v>45636</v>
      </c>
      <c r="H210" s="61"/>
    </row>
    <row r="211" spans="1:8" ht="15.75" thickBot="1" x14ac:dyDescent="0.25">
      <c r="A211" s="14" t="s">
        <v>6</v>
      </c>
      <c r="B211" s="30" t="s">
        <v>428</v>
      </c>
      <c r="C211" s="7" t="s">
        <v>429</v>
      </c>
      <c r="D211" s="31">
        <v>45642</v>
      </c>
      <c r="E211" s="31" t="s">
        <v>109</v>
      </c>
      <c r="F211" s="32">
        <v>0.5</v>
      </c>
      <c r="G211" s="31">
        <v>45644</v>
      </c>
      <c r="H211" s="61"/>
    </row>
    <row r="212" spans="1:8" ht="15" hidden="1" thickBot="1" x14ac:dyDescent="0.25">
      <c r="A212" s="21" t="s">
        <v>723</v>
      </c>
      <c r="B212" s="30" t="s">
        <v>430</v>
      </c>
      <c r="C212" s="30" t="s">
        <v>431</v>
      </c>
      <c r="D212" s="31">
        <v>45298</v>
      </c>
      <c r="E212" s="32" t="s">
        <v>72</v>
      </c>
      <c r="F212" s="32">
        <v>80</v>
      </c>
      <c r="G212" s="31">
        <v>45299</v>
      </c>
      <c r="H212" s="61"/>
    </row>
    <row r="213" spans="1:8" ht="15" hidden="1" thickBot="1" x14ac:dyDescent="0.25">
      <c r="A213" s="21" t="s">
        <v>723</v>
      </c>
      <c r="B213" s="30" t="s">
        <v>432</v>
      </c>
      <c r="C213" s="30" t="s">
        <v>266</v>
      </c>
      <c r="D213" s="31">
        <v>45299</v>
      </c>
      <c r="E213" s="32" t="s">
        <v>72</v>
      </c>
      <c r="F213" s="32">
        <v>102</v>
      </c>
      <c r="G213" s="31">
        <v>45301</v>
      </c>
      <c r="H213" s="61"/>
    </row>
    <row r="214" spans="1:8" ht="15" hidden="1" thickBot="1" x14ac:dyDescent="0.25">
      <c r="A214" s="21" t="s">
        <v>723</v>
      </c>
      <c r="B214" s="30" t="s">
        <v>433</v>
      </c>
      <c r="C214" s="30" t="s">
        <v>266</v>
      </c>
      <c r="D214" s="31">
        <v>45321</v>
      </c>
      <c r="E214" s="32" t="s">
        <v>59</v>
      </c>
      <c r="F214" s="32">
        <v>400</v>
      </c>
      <c r="G214" s="31">
        <v>45334</v>
      </c>
      <c r="H214" s="61"/>
    </row>
    <row r="215" spans="1:8" ht="15" hidden="1" thickBot="1" x14ac:dyDescent="0.25">
      <c r="A215" s="21" t="s">
        <v>723</v>
      </c>
      <c r="B215" s="30" t="s">
        <v>434</v>
      </c>
      <c r="C215" s="30" t="s">
        <v>58</v>
      </c>
      <c r="D215" s="31">
        <v>45340</v>
      </c>
      <c r="E215" s="32" t="s">
        <v>109</v>
      </c>
      <c r="F215" s="32">
        <v>0.08</v>
      </c>
      <c r="G215" s="31">
        <v>45340</v>
      </c>
      <c r="H215" s="61"/>
    </row>
    <row r="216" spans="1:8" ht="15" hidden="1" thickBot="1" x14ac:dyDescent="0.25">
      <c r="A216" s="21" t="s">
        <v>723</v>
      </c>
      <c r="B216" s="30" t="s">
        <v>435</v>
      </c>
      <c r="C216" s="30" t="s">
        <v>8</v>
      </c>
      <c r="D216" s="31">
        <v>45406</v>
      </c>
      <c r="E216" s="32" t="s">
        <v>109</v>
      </c>
      <c r="F216" s="32">
        <v>0.18</v>
      </c>
      <c r="G216" s="31">
        <v>45316</v>
      </c>
      <c r="H216" s="61"/>
    </row>
    <row r="217" spans="1:8" ht="15" hidden="1" thickBot="1" x14ac:dyDescent="0.25">
      <c r="A217" s="21" t="s">
        <v>723</v>
      </c>
      <c r="B217" s="30" t="s">
        <v>436</v>
      </c>
      <c r="C217" s="30" t="s">
        <v>58</v>
      </c>
      <c r="D217" s="31">
        <v>45448</v>
      </c>
      <c r="E217" s="32" t="s">
        <v>72</v>
      </c>
      <c r="F217" s="32">
        <v>0.15</v>
      </c>
      <c r="G217" s="31">
        <v>45449</v>
      </c>
      <c r="H217" s="61"/>
    </row>
    <row r="218" spans="1:8" ht="15" hidden="1" thickBot="1" x14ac:dyDescent="0.25">
      <c r="A218" s="21" t="s">
        <v>723</v>
      </c>
      <c r="B218" s="30" t="s">
        <v>437</v>
      </c>
      <c r="C218" s="30" t="s">
        <v>438</v>
      </c>
      <c r="D218" s="31">
        <v>45488</v>
      </c>
      <c r="E218" s="32" t="s">
        <v>72</v>
      </c>
      <c r="F218" s="32">
        <v>0.01</v>
      </c>
      <c r="G218" s="31">
        <v>45488</v>
      </c>
      <c r="H218" s="61"/>
    </row>
    <row r="219" spans="1:8" ht="15" hidden="1" thickBot="1" x14ac:dyDescent="0.25">
      <c r="A219" s="21" t="s">
        <v>723</v>
      </c>
      <c r="B219" s="30" t="s">
        <v>206</v>
      </c>
      <c r="C219" s="30" t="s">
        <v>439</v>
      </c>
      <c r="D219" s="31">
        <v>45491</v>
      </c>
      <c r="E219" s="32" t="s">
        <v>72</v>
      </c>
      <c r="F219" s="32">
        <v>0.02</v>
      </c>
      <c r="G219" s="31">
        <v>45491</v>
      </c>
      <c r="H219" s="61"/>
    </row>
    <row r="220" spans="1:8" ht="15" hidden="1" thickBot="1" x14ac:dyDescent="0.25">
      <c r="A220" s="21" t="s">
        <v>723</v>
      </c>
      <c r="B220" s="30" t="s">
        <v>440</v>
      </c>
      <c r="C220" s="30" t="s">
        <v>58</v>
      </c>
      <c r="D220" s="31">
        <v>45496</v>
      </c>
      <c r="E220" s="32" t="s">
        <v>72</v>
      </c>
      <c r="F220" s="32">
        <v>0.03</v>
      </c>
      <c r="G220" s="31">
        <v>45501</v>
      </c>
      <c r="H220" s="61"/>
    </row>
    <row r="221" spans="1:8" ht="15" hidden="1" thickBot="1" x14ac:dyDescent="0.25">
      <c r="A221" s="21" t="s">
        <v>723</v>
      </c>
      <c r="B221" s="30" t="s">
        <v>441</v>
      </c>
      <c r="C221" s="30" t="s">
        <v>331</v>
      </c>
      <c r="D221" s="31">
        <v>45512</v>
      </c>
      <c r="E221" s="32" t="s">
        <v>59</v>
      </c>
      <c r="F221" s="32">
        <v>165</v>
      </c>
      <c r="G221" s="31">
        <v>45518</v>
      </c>
      <c r="H221" s="61"/>
    </row>
    <row r="222" spans="1:8" ht="15" hidden="1" thickBot="1" x14ac:dyDescent="0.25">
      <c r="A222" s="32" t="s">
        <v>699</v>
      </c>
      <c r="B222" s="30" t="s">
        <v>442</v>
      </c>
      <c r="C222" s="30" t="s">
        <v>54</v>
      </c>
      <c r="D222" s="31">
        <v>45320</v>
      </c>
      <c r="E222" s="32" t="s">
        <v>59</v>
      </c>
      <c r="F222" s="32">
        <v>0.45</v>
      </c>
      <c r="G222" s="31">
        <v>45326</v>
      </c>
      <c r="H222" s="61"/>
    </row>
    <row r="223" spans="1:8" ht="15" hidden="1" thickBot="1" x14ac:dyDescent="0.25">
      <c r="A223" s="32" t="s">
        <v>699</v>
      </c>
      <c r="B223" s="30" t="s">
        <v>443</v>
      </c>
      <c r="C223" s="30" t="s">
        <v>444</v>
      </c>
      <c r="D223" s="31">
        <v>45347</v>
      </c>
      <c r="E223" s="32" t="s">
        <v>109</v>
      </c>
      <c r="F223" s="32">
        <v>22.4</v>
      </c>
      <c r="G223" s="31">
        <v>45347</v>
      </c>
      <c r="H223" s="61"/>
    </row>
    <row r="224" spans="1:8" ht="15" hidden="1" thickBot="1" x14ac:dyDescent="0.25">
      <c r="A224" s="32" t="s">
        <v>699</v>
      </c>
      <c r="B224" s="30" t="s">
        <v>441</v>
      </c>
      <c r="C224" s="30" t="s">
        <v>331</v>
      </c>
      <c r="D224" s="31">
        <v>45512</v>
      </c>
      <c r="E224" s="32" t="s">
        <v>59</v>
      </c>
      <c r="F224" s="32">
        <v>165</v>
      </c>
      <c r="G224" s="31">
        <v>45518</v>
      </c>
      <c r="H224" s="61"/>
    </row>
    <row r="225" spans="1:8" ht="15" hidden="1" thickBot="1" x14ac:dyDescent="0.25">
      <c r="A225" s="32" t="s">
        <v>699</v>
      </c>
      <c r="B225" s="30" t="s">
        <v>117</v>
      </c>
      <c r="C225" s="30" t="s">
        <v>58</v>
      </c>
      <c r="D225" s="31">
        <v>45587</v>
      </c>
      <c r="E225" s="32" t="s">
        <v>72</v>
      </c>
      <c r="F225" s="32">
        <v>0.27</v>
      </c>
      <c r="G225" s="31">
        <v>45588</v>
      </c>
      <c r="H225" s="61"/>
    </row>
    <row r="226" spans="1:8" ht="15" hidden="1" thickBot="1" x14ac:dyDescent="0.25">
      <c r="A226" s="32" t="s">
        <v>699</v>
      </c>
      <c r="B226" s="30" t="s">
        <v>445</v>
      </c>
      <c r="C226" s="30" t="s">
        <v>54</v>
      </c>
      <c r="D226" s="31">
        <v>45621</v>
      </c>
      <c r="E226" s="32" t="s">
        <v>72</v>
      </c>
      <c r="F226" s="32">
        <v>3.2000000000000001E-2</v>
      </c>
      <c r="G226" s="31">
        <v>45601</v>
      </c>
      <c r="H226" s="61"/>
    </row>
    <row r="227" spans="1:8" ht="15" hidden="1" thickBot="1" x14ac:dyDescent="0.25">
      <c r="A227" s="32" t="s">
        <v>699</v>
      </c>
      <c r="B227" s="30" t="s">
        <v>393</v>
      </c>
      <c r="C227" s="30" t="s">
        <v>160</v>
      </c>
      <c r="D227" s="31">
        <v>45648</v>
      </c>
      <c r="E227" s="32" t="s">
        <v>59</v>
      </c>
      <c r="F227" s="32">
        <v>2600</v>
      </c>
      <c r="G227" s="31">
        <v>45666</v>
      </c>
      <c r="H227" s="61"/>
    </row>
    <row r="228" spans="1:8" ht="15" hidden="1" thickBot="1" x14ac:dyDescent="0.25">
      <c r="A228" s="21" t="s">
        <v>700</v>
      </c>
      <c r="B228" s="30" t="s">
        <v>446</v>
      </c>
      <c r="C228" s="30" t="s">
        <v>447</v>
      </c>
      <c r="D228" s="31">
        <v>45305</v>
      </c>
      <c r="E228" s="32" t="s">
        <v>324</v>
      </c>
      <c r="F228" s="44">
        <v>0.01</v>
      </c>
      <c r="G228" s="31">
        <v>45306</v>
      </c>
      <c r="H228" s="61"/>
    </row>
    <row r="229" spans="1:8" ht="15" hidden="1" thickBot="1" x14ac:dyDescent="0.25">
      <c r="A229" s="21" t="s">
        <v>700</v>
      </c>
      <c r="B229" s="30" t="s">
        <v>448</v>
      </c>
      <c r="C229" s="30" t="s">
        <v>449</v>
      </c>
      <c r="D229" s="31">
        <v>45396</v>
      </c>
      <c r="E229" s="32" t="s">
        <v>59</v>
      </c>
      <c r="F229" s="32" t="s">
        <v>221</v>
      </c>
      <c r="G229" s="31">
        <v>45406</v>
      </c>
      <c r="H229" s="61"/>
    </row>
    <row r="230" spans="1:8" ht="15" hidden="1" thickBot="1" x14ac:dyDescent="0.25">
      <c r="A230" s="21" t="s">
        <v>700</v>
      </c>
      <c r="B230" s="30" t="s">
        <v>450</v>
      </c>
      <c r="C230" s="30" t="s">
        <v>328</v>
      </c>
      <c r="D230" s="31">
        <v>45657</v>
      </c>
      <c r="E230" s="32" t="s">
        <v>59</v>
      </c>
      <c r="F230" s="32" t="s">
        <v>221</v>
      </c>
      <c r="G230" s="31">
        <v>45659</v>
      </c>
      <c r="H230" s="61"/>
    </row>
    <row r="231" spans="1:8" ht="15" hidden="1" thickBot="1" x14ac:dyDescent="0.25">
      <c r="A231" s="32" t="s">
        <v>701</v>
      </c>
      <c r="B231" s="30" t="s">
        <v>451</v>
      </c>
      <c r="C231" s="30" t="s">
        <v>266</v>
      </c>
      <c r="D231" s="31">
        <v>45315</v>
      </c>
      <c r="E231" s="32" t="s">
        <v>59</v>
      </c>
      <c r="F231" s="32">
        <v>24.8</v>
      </c>
      <c r="G231" s="31">
        <v>45319</v>
      </c>
      <c r="H231" s="61"/>
    </row>
    <row r="232" spans="1:8" ht="15" hidden="1" thickBot="1" x14ac:dyDescent="0.25">
      <c r="A232" s="32" t="s">
        <v>701</v>
      </c>
      <c r="B232" s="30" t="s">
        <v>452</v>
      </c>
      <c r="C232" s="30" t="s">
        <v>8</v>
      </c>
      <c r="D232" s="31">
        <v>45343</v>
      </c>
      <c r="E232" s="32" t="s">
        <v>109</v>
      </c>
      <c r="F232" s="32">
        <v>0.8</v>
      </c>
      <c r="G232" s="31">
        <v>45343</v>
      </c>
      <c r="H232" s="61"/>
    </row>
    <row r="233" spans="1:8" ht="15" hidden="1" thickBot="1" x14ac:dyDescent="0.25">
      <c r="A233" s="32" t="s">
        <v>701</v>
      </c>
      <c r="B233" s="30" t="s">
        <v>123</v>
      </c>
      <c r="C233" s="30" t="s">
        <v>87</v>
      </c>
      <c r="D233" s="31">
        <v>45398</v>
      </c>
      <c r="E233" s="32" t="s">
        <v>72</v>
      </c>
      <c r="F233" s="32">
        <v>0.05</v>
      </c>
      <c r="G233" s="31">
        <v>45398</v>
      </c>
      <c r="H233" s="61"/>
    </row>
    <row r="234" spans="1:8" ht="15" hidden="1" thickBot="1" x14ac:dyDescent="0.25">
      <c r="A234" s="32" t="s">
        <v>701</v>
      </c>
      <c r="B234" s="30" t="s">
        <v>322</v>
      </c>
      <c r="C234" s="30" t="s">
        <v>453</v>
      </c>
      <c r="D234" s="31">
        <v>45407</v>
      </c>
      <c r="E234" s="32" t="s">
        <v>72</v>
      </c>
      <c r="F234" s="32" t="s">
        <v>380</v>
      </c>
      <c r="G234" s="31">
        <v>45428</v>
      </c>
      <c r="H234" s="61"/>
    </row>
    <row r="235" spans="1:8" ht="15" hidden="1" thickBot="1" x14ac:dyDescent="0.25">
      <c r="A235" s="32" t="s">
        <v>701</v>
      </c>
      <c r="B235" s="30" t="s">
        <v>454</v>
      </c>
      <c r="C235" s="30" t="s">
        <v>455</v>
      </c>
      <c r="D235" s="31">
        <v>45407</v>
      </c>
      <c r="E235" s="32" t="s">
        <v>72</v>
      </c>
      <c r="F235" s="32">
        <v>5.16</v>
      </c>
      <c r="G235" s="31">
        <v>45418</v>
      </c>
      <c r="H235" s="61"/>
    </row>
    <row r="236" spans="1:8" ht="15" hidden="1" thickBot="1" x14ac:dyDescent="0.25">
      <c r="A236" s="32" t="s">
        <v>701</v>
      </c>
      <c r="B236" s="30" t="s">
        <v>247</v>
      </c>
      <c r="C236" s="30" t="s">
        <v>162</v>
      </c>
      <c r="D236" s="31">
        <v>45468</v>
      </c>
      <c r="E236" s="32" t="s">
        <v>72</v>
      </c>
      <c r="F236" s="32">
        <v>0.09</v>
      </c>
      <c r="G236" s="31">
        <v>45469</v>
      </c>
      <c r="H236" s="61"/>
    </row>
    <row r="237" spans="1:8" ht="15" hidden="1" thickBot="1" x14ac:dyDescent="0.25">
      <c r="A237" s="32" t="s">
        <v>701</v>
      </c>
      <c r="B237" s="30" t="s">
        <v>456</v>
      </c>
      <c r="C237" s="30" t="s">
        <v>58</v>
      </c>
      <c r="D237" s="31">
        <v>45469</v>
      </c>
      <c r="E237" s="32" t="s">
        <v>72</v>
      </c>
      <c r="F237" s="32">
        <v>0.04</v>
      </c>
      <c r="G237" s="31">
        <v>45475</v>
      </c>
      <c r="H237" s="61"/>
    </row>
    <row r="238" spans="1:8" ht="15" hidden="1" thickBot="1" x14ac:dyDescent="0.25">
      <c r="A238" s="32" t="s">
        <v>701</v>
      </c>
      <c r="B238" s="30" t="s">
        <v>457</v>
      </c>
      <c r="C238" s="30" t="s">
        <v>458</v>
      </c>
      <c r="D238" s="31">
        <v>45501</v>
      </c>
      <c r="E238" s="32" t="s">
        <v>72</v>
      </c>
      <c r="F238" s="32">
        <v>0.13</v>
      </c>
      <c r="G238" s="31">
        <v>45501</v>
      </c>
      <c r="H238" s="61"/>
    </row>
    <row r="239" spans="1:8" ht="15" hidden="1" thickBot="1" x14ac:dyDescent="0.25">
      <c r="A239" s="32" t="s">
        <v>701</v>
      </c>
      <c r="B239" s="30" t="s">
        <v>459</v>
      </c>
      <c r="C239" s="30" t="s">
        <v>460</v>
      </c>
      <c r="D239" s="31">
        <v>45533</v>
      </c>
      <c r="E239" s="32" t="s">
        <v>59</v>
      </c>
      <c r="F239" s="32">
        <v>1.1000000000000001</v>
      </c>
      <c r="G239" s="31">
        <v>45540</v>
      </c>
      <c r="H239" s="61"/>
    </row>
    <row r="240" spans="1:8" ht="15" hidden="1" thickBot="1" x14ac:dyDescent="0.25">
      <c r="A240" s="32" t="s">
        <v>701</v>
      </c>
      <c r="B240" s="30" t="s">
        <v>461</v>
      </c>
      <c r="C240" s="30" t="s">
        <v>58</v>
      </c>
      <c r="D240" s="31">
        <v>45559</v>
      </c>
      <c r="E240" s="32" t="s">
        <v>72</v>
      </c>
      <c r="F240" s="32">
        <v>0.15</v>
      </c>
      <c r="G240" s="31">
        <v>45560</v>
      </c>
      <c r="H240" s="61"/>
    </row>
    <row r="241" spans="1:8" ht="15" hidden="1" thickBot="1" x14ac:dyDescent="0.25">
      <c r="A241" s="32" t="s">
        <v>701</v>
      </c>
      <c r="B241" s="30" t="s">
        <v>322</v>
      </c>
      <c r="C241" s="30" t="s">
        <v>462</v>
      </c>
      <c r="D241" s="31">
        <v>45613</v>
      </c>
      <c r="E241" s="32" t="s">
        <v>72</v>
      </c>
      <c r="F241" s="32">
        <v>0.72</v>
      </c>
      <c r="G241" s="31">
        <v>45613</v>
      </c>
      <c r="H241" s="61"/>
    </row>
    <row r="242" spans="1:8" ht="15" hidden="1" thickBot="1" x14ac:dyDescent="0.25">
      <c r="A242" s="21" t="s">
        <v>11</v>
      </c>
      <c r="B242" s="30" t="s">
        <v>463</v>
      </c>
      <c r="C242" s="30" t="s">
        <v>10</v>
      </c>
      <c r="D242" s="31">
        <v>45305</v>
      </c>
      <c r="E242" s="32" t="s">
        <v>59</v>
      </c>
      <c r="F242" s="32">
        <v>0.62</v>
      </c>
      <c r="G242" s="31">
        <v>45308</v>
      </c>
      <c r="H242" s="61"/>
    </row>
    <row r="243" spans="1:8" ht="15" hidden="1" thickBot="1" x14ac:dyDescent="0.25">
      <c r="A243" s="21" t="s">
        <v>11</v>
      </c>
      <c r="B243" s="30" t="s">
        <v>464</v>
      </c>
      <c r="C243" s="30" t="s">
        <v>46</v>
      </c>
      <c r="D243" s="31">
        <v>45335</v>
      </c>
      <c r="E243" s="32" t="s">
        <v>59</v>
      </c>
      <c r="F243" s="32">
        <v>0.45</v>
      </c>
      <c r="G243" s="31">
        <v>45336</v>
      </c>
      <c r="H243" s="61"/>
    </row>
    <row r="244" spans="1:8" ht="15" hidden="1" thickBot="1" x14ac:dyDescent="0.25">
      <c r="A244" s="21" t="s">
        <v>11</v>
      </c>
      <c r="B244" s="30" t="s">
        <v>465</v>
      </c>
      <c r="C244" s="30" t="s">
        <v>46</v>
      </c>
      <c r="D244" s="31">
        <v>45341</v>
      </c>
      <c r="E244" s="32" t="s">
        <v>59</v>
      </c>
      <c r="F244" s="32">
        <v>0.2</v>
      </c>
      <c r="G244" s="31">
        <v>45348</v>
      </c>
      <c r="H244" s="61"/>
    </row>
    <row r="245" spans="1:8" ht="15.75" hidden="1" thickBot="1" x14ac:dyDescent="0.25">
      <c r="A245" s="21" t="s">
        <v>11</v>
      </c>
      <c r="B245" s="39" t="s">
        <v>466</v>
      </c>
      <c r="C245" s="30" t="s">
        <v>467</v>
      </c>
      <c r="D245" s="31">
        <v>45371</v>
      </c>
      <c r="E245" s="32" t="s">
        <v>59</v>
      </c>
      <c r="F245" s="32">
        <v>0.2</v>
      </c>
      <c r="G245" s="31">
        <v>45371</v>
      </c>
      <c r="H245" s="61"/>
    </row>
    <row r="246" spans="1:8" ht="15.75" hidden="1" thickBot="1" x14ac:dyDescent="0.25">
      <c r="A246" s="21" t="s">
        <v>11</v>
      </c>
      <c r="B246" s="39" t="s">
        <v>468</v>
      </c>
      <c r="C246" s="30" t="s">
        <v>469</v>
      </c>
      <c r="D246" s="31">
        <v>45442</v>
      </c>
      <c r="E246" s="32" t="s">
        <v>59</v>
      </c>
      <c r="F246" s="32">
        <v>1.7</v>
      </c>
      <c r="G246" s="31">
        <v>45446</v>
      </c>
      <c r="H246" s="61"/>
    </row>
    <row r="247" spans="1:8" ht="15.75" hidden="1" thickBot="1" x14ac:dyDescent="0.25">
      <c r="A247" s="21" t="s">
        <v>11</v>
      </c>
      <c r="B247" s="39" t="s">
        <v>470</v>
      </c>
      <c r="C247" s="30" t="s">
        <v>471</v>
      </c>
      <c r="D247" s="31">
        <v>45414</v>
      </c>
      <c r="E247" s="32" t="s">
        <v>59</v>
      </c>
      <c r="F247" s="32">
        <v>5.7</v>
      </c>
      <c r="G247" s="31">
        <v>45425</v>
      </c>
      <c r="H247" s="61"/>
    </row>
    <row r="248" spans="1:8" ht="15.75" hidden="1" thickBot="1" x14ac:dyDescent="0.25">
      <c r="A248" s="21" t="s">
        <v>11</v>
      </c>
      <c r="B248" s="39" t="s">
        <v>472</v>
      </c>
      <c r="C248" s="30" t="s">
        <v>473</v>
      </c>
      <c r="D248" s="31">
        <v>45453</v>
      </c>
      <c r="E248" s="32" t="s">
        <v>59</v>
      </c>
      <c r="F248" s="32">
        <v>1.3</v>
      </c>
      <c r="G248" s="31">
        <v>45456</v>
      </c>
      <c r="H248" s="61"/>
    </row>
    <row r="249" spans="1:8" ht="15.75" hidden="1" thickBot="1" x14ac:dyDescent="0.25">
      <c r="A249" s="21" t="s">
        <v>11</v>
      </c>
      <c r="B249" s="39" t="s">
        <v>474</v>
      </c>
      <c r="C249" s="30" t="s">
        <v>473</v>
      </c>
      <c r="D249" s="31">
        <v>45453</v>
      </c>
      <c r="E249" s="32" t="s">
        <v>59</v>
      </c>
      <c r="F249" s="32">
        <v>0.27</v>
      </c>
      <c r="G249" s="31">
        <v>45456</v>
      </c>
      <c r="H249" s="61"/>
    </row>
    <row r="250" spans="1:8" ht="30.75" hidden="1" thickBot="1" x14ac:dyDescent="0.25">
      <c r="A250" s="21" t="s">
        <v>11</v>
      </c>
      <c r="B250" s="39" t="s">
        <v>475</v>
      </c>
      <c r="C250" s="30" t="s">
        <v>175</v>
      </c>
      <c r="D250" s="31">
        <v>45470</v>
      </c>
      <c r="E250" s="32" t="s">
        <v>59</v>
      </c>
      <c r="F250" s="32">
        <v>40</v>
      </c>
      <c r="G250" s="31">
        <v>45475</v>
      </c>
      <c r="H250" s="61"/>
    </row>
    <row r="251" spans="1:8" ht="30.75" hidden="1" thickBot="1" x14ac:dyDescent="0.25">
      <c r="A251" s="21" t="s">
        <v>11</v>
      </c>
      <c r="B251" s="39" t="s">
        <v>476</v>
      </c>
      <c r="C251" s="30" t="s">
        <v>175</v>
      </c>
      <c r="D251" s="31">
        <v>45477</v>
      </c>
      <c r="E251" s="32"/>
      <c r="F251" s="32"/>
      <c r="G251" s="31">
        <f>Tableau2[[#This Row],[16/02/2025]]</f>
        <v>45477</v>
      </c>
      <c r="H251" s="61" t="s">
        <v>128</v>
      </c>
    </row>
    <row r="252" spans="1:8" ht="15.75" hidden="1" thickBot="1" x14ac:dyDescent="0.25">
      <c r="A252" s="21" t="s">
        <v>11</v>
      </c>
      <c r="B252" s="39" t="s">
        <v>477</v>
      </c>
      <c r="C252" s="30" t="s">
        <v>266</v>
      </c>
      <c r="D252" s="31">
        <v>45490</v>
      </c>
      <c r="E252" s="32" t="s">
        <v>59</v>
      </c>
      <c r="F252" s="32">
        <v>1</v>
      </c>
      <c r="G252" s="31">
        <v>45491</v>
      </c>
      <c r="H252" s="61"/>
    </row>
    <row r="253" spans="1:8" ht="15.75" hidden="1" thickBot="1" x14ac:dyDescent="0.25">
      <c r="A253" s="21" t="s">
        <v>11</v>
      </c>
      <c r="B253" s="39" t="s">
        <v>478</v>
      </c>
      <c r="C253" s="30" t="s">
        <v>479</v>
      </c>
      <c r="D253" s="31">
        <v>45510</v>
      </c>
      <c r="E253" s="32" t="s">
        <v>72</v>
      </c>
      <c r="F253" s="32">
        <v>58</v>
      </c>
      <c r="G253" s="31">
        <v>45512</v>
      </c>
      <c r="H253" s="61"/>
    </row>
    <row r="254" spans="1:8" ht="15.75" hidden="1" thickBot="1" x14ac:dyDescent="0.25">
      <c r="A254" s="21" t="s">
        <v>11</v>
      </c>
      <c r="B254" s="39" t="s">
        <v>480</v>
      </c>
      <c r="C254" s="30" t="s">
        <v>266</v>
      </c>
      <c r="D254" s="31">
        <v>45531</v>
      </c>
      <c r="E254" s="32" t="s">
        <v>72</v>
      </c>
      <c r="F254" s="32">
        <v>958</v>
      </c>
      <c r="G254" s="31">
        <v>45540</v>
      </c>
      <c r="H254" s="61"/>
    </row>
    <row r="255" spans="1:8" ht="30.75" hidden="1" thickBot="1" x14ac:dyDescent="0.25">
      <c r="A255" s="21" t="s">
        <v>11</v>
      </c>
      <c r="B255" s="39" t="s">
        <v>481</v>
      </c>
      <c r="C255" s="30" t="s">
        <v>482</v>
      </c>
      <c r="D255" s="31">
        <v>45536</v>
      </c>
      <c r="E255" s="32" t="s">
        <v>72</v>
      </c>
      <c r="F255" s="32">
        <v>8</v>
      </c>
      <c r="G255" s="31">
        <v>45540</v>
      </c>
      <c r="H255" s="61"/>
    </row>
    <row r="256" spans="1:8" ht="15.75" hidden="1" thickBot="1" x14ac:dyDescent="0.25">
      <c r="A256" s="21" t="s">
        <v>11</v>
      </c>
      <c r="B256" s="39" t="s">
        <v>398</v>
      </c>
      <c r="C256" s="30" t="s">
        <v>483</v>
      </c>
      <c r="D256" s="31">
        <v>45546</v>
      </c>
      <c r="E256" s="32" t="s">
        <v>59</v>
      </c>
      <c r="F256" s="32">
        <v>1.2</v>
      </c>
      <c r="G256" s="31">
        <v>45518</v>
      </c>
      <c r="H256" s="61"/>
    </row>
    <row r="257" spans="1:8" ht="15.75" hidden="1" thickBot="1" x14ac:dyDescent="0.25">
      <c r="A257" s="21" t="s">
        <v>11</v>
      </c>
      <c r="B257" s="39" t="s">
        <v>484</v>
      </c>
      <c r="C257" s="30" t="s">
        <v>485</v>
      </c>
      <c r="D257" s="31">
        <v>45567</v>
      </c>
      <c r="E257" s="32" t="s">
        <v>72</v>
      </c>
      <c r="F257" s="32" t="s">
        <v>486</v>
      </c>
      <c r="G257" s="31">
        <v>45568</v>
      </c>
      <c r="H257" s="61"/>
    </row>
    <row r="258" spans="1:8" ht="15.75" hidden="1" thickBot="1" x14ac:dyDescent="0.25">
      <c r="A258" s="21" t="s">
        <v>11</v>
      </c>
      <c r="B258" s="39" t="s">
        <v>487</v>
      </c>
      <c r="C258" s="30" t="s">
        <v>162</v>
      </c>
      <c r="D258" s="31">
        <v>45568</v>
      </c>
      <c r="E258" s="32" t="s">
        <v>59</v>
      </c>
      <c r="F258" s="32">
        <v>1.1000000000000001</v>
      </c>
      <c r="G258" s="31">
        <v>45568</v>
      </c>
      <c r="H258" s="61"/>
    </row>
    <row r="259" spans="1:8" ht="15.75" hidden="1" thickBot="1" x14ac:dyDescent="0.25">
      <c r="A259" s="21" t="s">
        <v>11</v>
      </c>
      <c r="B259" s="39" t="s">
        <v>488</v>
      </c>
      <c r="C259" s="30" t="s">
        <v>175</v>
      </c>
      <c r="D259" s="31">
        <v>45638</v>
      </c>
      <c r="E259" s="32" t="s">
        <v>59</v>
      </c>
      <c r="F259" s="32">
        <v>2</v>
      </c>
      <c r="G259" s="31">
        <v>45642</v>
      </c>
      <c r="H259" s="61"/>
    </row>
    <row r="260" spans="1:8" ht="15" hidden="1" thickBot="1" x14ac:dyDescent="0.25">
      <c r="A260" s="21" t="s">
        <v>11</v>
      </c>
      <c r="B260" s="30" t="s">
        <v>489</v>
      </c>
      <c r="C260" s="30" t="s">
        <v>266</v>
      </c>
      <c r="D260" s="31">
        <v>45642</v>
      </c>
      <c r="E260" s="32" t="s">
        <v>490</v>
      </c>
      <c r="F260" s="32"/>
      <c r="G260" s="31">
        <f>Tableau2[[#This Row],[16/02/2025]]</f>
        <v>45642</v>
      </c>
      <c r="H260" s="61"/>
    </row>
    <row r="261" spans="1:8" ht="15.75" hidden="1" thickBot="1" x14ac:dyDescent="0.25">
      <c r="A261" s="38" t="s">
        <v>67</v>
      </c>
      <c r="B261" s="30" t="s">
        <v>491</v>
      </c>
      <c r="C261" s="30" t="s">
        <v>492</v>
      </c>
      <c r="D261" s="31">
        <v>45293</v>
      </c>
      <c r="E261" s="32" t="s">
        <v>109</v>
      </c>
      <c r="F261" s="32">
        <v>14</v>
      </c>
      <c r="G261" s="31">
        <v>45301</v>
      </c>
      <c r="H261" s="61"/>
    </row>
    <row r="262" spans="1:8" ht="15.75" hidden="1" thickBot="1" x14ac:dyDescent="0.25">
      <c r="A262" s="38" t="s">
        <v>67</v>
      </c>
      <c r="B262" s="30" t="s">
        <v>159</v>
      </c>
      <c r="C262" s="30" t="s">
        <v>493</v>
      </c>
      <c r="D262" s="31">
        <v>45294</v>
      </c>
      <c r="E262" s="32" t="s">
        <v>109</v>
      </c>
      <c r="F262" s="32">
        <v>4</v>
      </c>
      <c r="G262" s="31">
        <v>45299</v>
      </c>
      <c r="H262" s="61"/>
    </row>
    <row r="263" spans="1:8" ht="15.75" hidden="1" thickBot="1" x14ac:dyDescent="0.25">
      <c r="A263" s="38" t="s">
        <v>67</v>
      </c>
      <c r="B263" s="30" t="s">
        <v>494</v>
      </c>
      <c r="C263" s="30" t="s">
        <v>495</v>
      </c>
      <c r="D263" s="31">
        <v>45298</v>
      </c>
      <c r="E263" s="32" t="s">
        <v>72</v>
      </c>
      <c r="F263" s="32" t="s">
        <v>221</v>
      </c>
      <c r="G263" s="31">
        <v>45301</v>
      </c>
      <c r="H263" s="61"/>
    </row>
    <row r="264" spans="1:8" ht="15.75" hidden="1" thickBot="1" x14ac:dyDescent="0.25">
      <c r="A264" s="38" t="s">
        <v>67</v>
      </c>
      <c r="B264" s="30" t="s">
        <v>267</v>
      </c>
      <c r="C264" s="30" t="s">
        <v>266</v>
      </c>
      <c r="D264" s="31">
        <v>45298</v>
      </c>
      <c r="E264" s="32" t="s">
        <v>109</v>
      </c>
      <c r="F264" s="32">
        <v>5</v>
      </c>
      <c r="G264" s="31">
        <v>45300</v>
      </c>
      <c r="H264" s="61"/>
    </row>
    <row r="265" spans="1:8" ht="15.75" hidden="1" thickBot="1" x14ac:dyDescent="0.25">
      <c r="A265" s="38" t="s">
        <v>67</v>
      </c>
      <c r="B265" s="30" t="s">
        <v>496</v>
      </c>
      <c r="C265" s="30" t="s">
        <v>495</v>
      </c>
      <c r="D265" s="31">
        <v>45299</v>
      </c>
      <c r="E265" s="32" t="s">
        <v>59</v>
      </c>
      <c r="F265" s="32">
        <v>45850</v>
      </c>
      <c r="G265" s="31">
        <v>45372</v>
      </c>
      <c r="H265" s="61"/>
    </row>
    <row r="266" spans="1:8" ht="15.75" hidden="1" thickBot="1" x14ac:dyDescent="0.25">
      <c r="A266" s="38" t="s">
        <v>67</v>
      </c>
      <c r="B266" s="30" t="s">
        <v>497</v>
      </c>
      <c r="C266" s="30" t="s">
        <v>495</v>
      </c>
      <c r="D266" s="31">
        <v>45299</v>
      </c>
      <c r="E266" s="32" t="s">
        <v>72</v>
      </c>
      <c r="F266" s="32" t="s">
        <v>221</v>
      </c>
      <c r="G266" s="31">
        <v>45301</v>
      </c>
      <c r="H266" s="61"/>
    </row>
    <row r="267" spans="1:8" ht="15.75" hidden="1" thickBot="1" x14ac:dyDescent="0.25">
      <c r="A267" s="38" t="s">
        <v>67</v>
      </c>
      <c r="B267" s="30" t="s">
        <v>443</v>
      </c>
      <c r="C267" s="30" t="s">
        <v>498</v>
      </c>
      <c r="D267" s="31">
        <v>45302</v>
      </c>
      <c r="E267" s="31" t="s">
        <v>59</v>
      </c>
      <c r="F267" s="32">
        <v>1240</v>
      </c>
      <c r="G267" s="31">
        <v>45315</v>
      </c>
      <c r="H267" s="61"/>
    </row>
    <row r="268" spans="1:8" ht="15.75" hidden="1" thickBot="1" x14ac:dyDescent="0.25">
      <c r="A268" s="38" t="s">
        <v>67</v>
      </c>
      <c r="B268" s="30" t="s">
        <v>499</v>
      </c>
      <c r="C268" s="30" t="s">
        <v>500</v>
      </c>
      <c r="D268" s="31">
        <v>45302</v>
      </c>
      <c r="E268" s="32" t="s">
        <v>59</v>
      </c>
      <c r="F268" s="32">
        <v>1.1000000000000001</v>
      </c>
      <c r="G268" s="31">
        <v>45305</v>
      </c>
      <c r="H268" s="61"/>
    </row>
    <row r="269" spans="1:8" ht="15.75" hidden="1" thickBot="1" x14ac:dyDescent="0.25">
      <c r="A269" s="38" t="s">
        <v>67</v>
      </c>
      <c r="B269" s="30" t="s">
        <v>501</v>
      </c>
      <c r="C269" s="30" t="s">
        <v>136</v>
      </c>
      <c r="D269" s="31">
        <v>45307</v>
      </c>
      <c r="E269" s="32" t="s">
        <v>324</v>
      </c>
      <c r="F269" s="32">
        <v>0.12</v>
      </c>
      <c r="G269" s="31">
        <v>45308</v>
      </c>
      <c r="H269" s="61"/>
    </row>
    <row r="270" spans="1:8" ht="15.75" hidden="1" thickBot="1" x14ac:dyDescent="0.25">
      <c r="A270" s="38" t="s">
        <v>67</v>
      </c>
      <c r="B270" s="30" t="s">
        <v>502</v>
      </c>
      <c r="C270" s="30" t="s">
        <v>503</v>
      </c>
      <c r="D270" s="31">
        <v>45320</v>
      </c>
      <c r="E270" s="32" t="s">
        <v>72</v>
      </c>
      <c r="F270" s="32">
        <v>46.2</v>
      </c>
      <c r="G270" s="31">
        <v>45329</v>
      </c>
      <c r="H270" s="61"/>
    </row>
    <row r="271" spans="1:8" ht="15.75" hidden="1" thickBot="1" x14ac:dyDescent="0.25">
      <c r="A271" s="38" t="s">
        <v>67</v>
      </c>
      <c r="B271" s="30" t="s">
        <v>504</v>
      </c>
      <c r="C271" s="30" t="s">
        <v>276</v>
      </c>
      <c r="D271" s="31">
        <v>45328</v>
      </c>
      <c r="E271" s="32" t="s">
        <v>59</v>
      </c>
      <c r="F271" s="32">
        <v>5.7</v>
      </c>
      <c r="G271" s="31">
        <v>45333</v>
      </c>
      <c r="H271" s="61"/>
    </row>
    <row r="272" spans="1:8" ht="15.75" hidden="1" thickBot="1" x14ac:dyDescent="0.25">
      <c r="A272" s="38" t="s">
        <v>67</v>
      </c>
      <c r="B272" s="30" t="s">
        <v>505</v>
      </c>
      <c r="C272" s="30" t="s">
        <v>233</v>
      </c>
      <c r="D272" s="31">
        <v>45335</v>
      </c>
      <c r="E272" s="32" t="s">
        <v>72</v>
      </c>
      <c r="F272" s="32">
        <v>0.5</v>
      </c>
      <c r="G272" s="31">
        <v>45337</v>
      </c>
      <c r="H272" s="61"/>
    </row>
    <row r="273" spans="1:8" ht="15.75" hidden="1" thickBot="1" x14ac:dyDescent="0.25">
      <c r="A273" s="38" t="s">
        <v>67</v>
      </c>
      <c r="B273" s="30" t="s">
        <v>506</v>
      </c>
      <c r="C273" s="30" t="s">
        <v>507</v>
      </c>
      <c r="D273" s="31">
        <v>45363</v>
      </c>
      <c r="E273" s="32" t="s">
        <v>72</v>
      </c>
      <c r="F273" s="32">
        <v>1</v>
      </c>
      <c r="G273" s="31">
        <v>45335</v>
      </c>
      <c r="H273" s="61"/>
    </row>
    <row r="274" spans="1:8" ht="15.75" hidden="1" thickBot="1" x14ac:dyDescent="0.25">
      <c r="A274" s="38" t="s">
        <v>67</v>
      </c>
      <c r="B274" s="30" t="s">
        <v>452</v>
      </c>
      <c r="C274" s="30" t="s">
        <v>508</v>
      </c>
      <c r="D274" s="31">
        <v>45365</v>
      </c>
      <c r="E274" s="32" t="s">
        <v>59</v>
      </c>
      <c r="F274" s="32">
        <v>725</v>
      </c>
      <c r="G274" s="31">
        <v>45378</v>
      </c>
      <c r="H274" s="61"/>
    </row>
    <row r="275" spans="1:8" ht="15.75" hidden="1" thickBot="1" x14ac:dyDescent="0.25">
      <c r="A275" s="38" t="s">
        <v>67</v>
      </c>
      <c r="B275" s="30" t="s">
        <v>509</v>
      </c>
      <c r="C275" s="30" t="s">
        <v>332</v>
      </c>
      <c r="D275" s="31">
        <v>45376</v>
      </c>
      <c r="E275" s="32" t="s">
        <v>109</v>
      </c>
      <c r="F275" s="32">
        <v>1</v>
      </c>
      <c r="G275" s="31">
        <v>45377</v>
      </c>
      <c r="H275" s="61"/>
    </row>
    <row r="276" spans="1:8" ht="15.75" hidden="1" thickBot="1" x14ac:dyDescent="0.25">
      <c r="A276" s="38" t="s">
        <v>67</v>
      </c>
      <c r="B276" s="30" t="s">
        <v>510</v>
      </c>
      <c r="C276" s="30" t="s">
        <v>58</v>
      </c>
      <c r="D276" s="31">
        <v>45379</v>
      </c>
      <c r="E276" s="32" t="s">
        <v>72</v>
      </c>
      <c r="F276" s="32">
        <v>0.01</v>
      </c>
      <c r="G276" s="31">
        <v>45379</v>
      </c>
      <c r="H276" s="61"/>
    </row>
    <row r="277" spans="1:8" ht="15.75" hidden="1" thickBot="1" x14ac:dyDescent="0.25">
      <c r="A277" s="38" t="s">
        <v>67</v>
      </c>
      <c r="B277" s="30" t="s">
        <v>511</v>
      </c>
      <c r="C277" s="30" t="s">
        <v>136</v>
      </c>
      <c r="D277" s="31">
        <v>45384</v>
      </c>
      <c r="E277" s="32" t="s">
        <v>59</v>
      </c>
      <c r="F277" s="32"/>
      <c r="G277" s="31">
        <v>45644</v>
      </c>
      <c r="H277" s="61"/>
    </row>
    <row r="278" spans="1:8" ht="15.75" hidden="1" thickBot="1" x14ac:dyDescent="0.25">
      <c r="A278" s="38" t="s">
        <v>67</v>
      </c>
      <c r="B278" s="30" t="s">
        <v>512</v>
      </c>
      <c r="C278" s="30" t="s">
        <v>136</v>
      </c>
      <c r="D278" s="31">
        <v>45383</v>
      </c>
      <c r="E278" s="32" t="s">
        <v>59</v>
      </c>
      <c r="F278" s="32" t="s">
        <v>513</v>
      </c>
      <c r="G278" s="31">
        <v>45385</v>
      </c>
      <c r="H278" s="61"/>
    </row>
    <row r="279" spans="1:8" ht="15.75" hidden="1" thickBot="1" x14ac:dyDescent="0.25">
      <c r="A279" s="38" t="s">
        <v>67</v>
      </c>
      <c r="B279" s="30" t="s">
        <v>514</v>
      </c>
      <c r="C279" s="30" t="s">
        <v>276</v>
      </c>
      <c r="D279" s="31">
        <v>45385</v>
      </c>
      <c r="E279" s="32" t="s">
        <v>72</v>
      </c>
      <c r="F279" s="32" t="s">
        <v>513</v>
      </c>
      <c r="G279" s="31">
        <v>45385</v>
      </c>
      <c r="H279" s="61"/>
    </row>
    <row r="280" spans="1:8" ht="15.75" hidden="1" thickBot="1" x14ac:dyDescent="0.25">
      <c r="A280" s="38" t="s">
        <v>67</v>
      </c>
      <c r="B280" s="30" t="s">
        <v>515</v>
      </c>
      <c r="C280" s="30" t="s">
        <v>276</v>
      </c>
      <c r="D280" s="31">
        <v>45405</v>
      </c>
      <c r="E280" s="32" t="s">
        <v>59</v>
      </c>
      <c r="F280" s="32">
        <v>40</v>
      </c>
      <c r="G280" s="31">
        <v>45426</v>
      </c>
      <c r="H280" s="61"/>
    </row>
    <row r="281" spans="1:8" ht="15.75" hidden="1" thickBot="1" x14ac:dyDescent="0.25">
      <c r="A281" s="38" t="s">
        <v>67</v>
      </c>
      <c r="B281" s="30" t="s">
        <v>516</v>
      </c>
      <c r="C281" s="30" t="s">
        <v>276</v>
      </c>
      <c r="D281" s="31">
        <v>45411</v>
      </c>
      <c r="E281" s="31" t="s">
        <v>59</v>
      </c>
      <c r="F281" s="32">
        <v>7</v>
      </c>
      <c r="G281" s="31">
        <v>45424</v>
      </c>
      <c r="H281" s="61"/>
    </row>
    <row r="282" spans="1:8" ht="15.75" hidden="1" thickBot="1" x14ac:dyDescent="0.25">
      <c r="A282" s="38" t="s">
        <v>67</v>
      </c>
      <c r="B282" s="39" t="s">
        <v>517</v>
      </c>
      <c r="C282" s="30" t="s">
        <v>518</v>
      </c>
      <c r="D282" s="31">
        <v>45431</v>
      </c>
      <c r="E282" s="31" t="s">
        <v>59</v>
      </c>
      <c r="F282" s="32">
        <v>5</v>
      </c>
      <c r="G282" s="31">
        <v>45438</v>
      </c>
      <c r="H282" s="61"/>
    </row>
    <row r="283" spans="1:8" ht="15.75" hidden="1" thickBot="1" x14ac:dyDescent="0.25">
      <c r="A283" s="38" t="s">
        <v>67</v>
      </c>
      <c r="B283" s="30" t="s">
        <v>519</v>
      </c>
      <c r="C283" s="30" t="s">
        <v>58</v>
      </c>
      <c r="D283" s="31">
        <v>45432</v>
      </c>
      <c r="E283" s="31" t="s">
        <v>72</v>
      </c>
      <c r="F283" s="32" t="s">
        <v>520</v>
      </c>
      <c r="G283" s="31">
        <v>45403</v>
      </c>
      <c r="H283" s="61"/>
    </row>
    <row r="284" spans="1:8" ht="15.75" hidden="1" thickBot="1" x14ac:dyDescent="0.25">
      <c r="A284" s="38" t="s">
        <v>67</v>
      </c>
      <c r="B284" s="30" t="s">
        <v>521</v>
      </c>
      <c r="C284" s="30" t="s">
        <v>276</v>
      </c>
      <c r="D284" s="31">
        <v>45435</v>
      </c>
      <c r="E284" s="31" t="s">
        <v>72</v>
      </c>
      <c r="F284" s="31" t="s">
        <v>221</v>
      </c>
      <c r="G284" s="31">
        <v>45455</v>
      </c>
      <c r="H284" s="61"/>
    </row>
    <row r="285" spans="1:8" ht="15.75" hidden="1" thickBot="1" x14ac:dyDescent="0.25">
      <c r="A285" s="38" t="s">
        <v>67</v>
      </c>
      <c r="B285" s="30" t="s">
        <v>522</v>
      </c>
      <c r="C285" s="30" t="s">
        <v>136</v>
      </c>
      <c r="D285" s="31">
        <v>45474</v>
      </c>
      <c r="E285" s="31" t="s">
        <v>59</v>
      </c>
      <c r="F285" s="32">
        <v>1</v>
      </c>
      <c r="G285" s="31">
        <v>45475</v>
      </c>
      <c r="H285" s="61"/>
    </row>
    <row r="286" spans="1:8" ht="15.75" hidden="1" thickBot="1" x14ac:dyDescent="0.25">
      <c r="A286" s="38" t="s">
        <v>67</v>
      </c>
      <c r="B286" s="30" t="s">
        <v>523</v>
      </c>
      <c r="C286" s="30" t="s">
        <v>276</v>
      </c>
      <c r="D286" s="31">
        <v>45490</v>
      </c>
      <c r="E286" s="31" t="s">
        <v>59</v>
      </c>
      <c r="F286" s="45">
        <v>14.6</v>
      </c>
      <c r="G286" s="31">
        <v>45491</v>
      </c>
      <c r="H286" s="61"/>
    </row>
    <row r="287" spans="1:8" ht="15.75" hidden="1" thickBot="1" x14ac:dyDescent="0.25">
      <c r="A287" s="38" t="s">
        <v>67</v>
      </c>
      <c r="B287" s="30" t="s">
        <v>329</v>
      </c>
      <c r="C287" s="30" t="s">
        <v>524</v>
      </c>
      <c r="D287" s="31">
        <v>45498</v>
      </c>
      <c r="E287" s="31" t="s">
        <v>59</v>
      </c>
      <c r="F287" s="32">
        <v>9</v>
      </c>
      <c r="G287" s="31">
        <v>45502</v>
      </c>
      <c r="H287" s="61"/>
    </row>
    <row r="288" spans="1:8" ht="15.75" hidden="1" thickBot="1" x14ac:dyDescent="0.25">
      <c r="A288" s="38" t="s">
        <v>67</v>
      </c>
      <c r="B288" s="30" t="s">
        <v>525</v>
      </c>
      <c r="C288" s="30" t="s">
        <v>526</v>
      </c>
      <c r="D288" s="31">
        <v>45516</v>
      </c>
      <c r="E288" s="31" t="s">
        <v>59</v>
      </c>
      <c r="F288" s="32" t="s">
        <v>486</v>
      </c>
      <c r="G288" s="31">
        <v>45518</v>
      </c>
      <c r="H288" s="61"/>
    </row>
    <row r="289" spans="1:8" ht="15.75" hidden="1" thickBot="1" x14ac:dyDescent="0.25">
      <c r="A289" s="38" t="s">
        <v>67</v>
      </c>
      <c r="B289" s="30" t="s">
        <v>527</v>
      </c>
      <c r="C289" s="30" t="s">
        <v>528</v>
      </c>
      <c r="D289" s="31">
        <v>45522</v>
      </c>
      <c r="E289" s="31" t="s">
        <v>59</v>
      </c>
      <c r="F289" s="32" t="s">
        <v>221</v>
      </c>
      <c r="G289" s="31">
        <v>45525</v>
      </c>
      <c r="H289" s="61"/>
    </row>
    <row r="290" spans="1:8" ht="15.75" hidden="1" thickBot="1" x14ac:dyDescent="0.25">
      <c r="A290" s="38" t="s">
        <v>67</v>
      </c>
      <c r="B290" s="30" t="s">
        <v>529</v>
      </c>
      <c r="C290" s="30" t="s">
        <v>530</v>
      </c>
      <c r="D290" s="31">
        <v>45526</v>
      </c>
      <c r="E290" s="31" t="s">
        <v>59</v>
      </c>
      <c r="F290" s="32" t="s">
        <v>221</v>
      </c>
      <c r="G290" s="31">
        <v>45526</v>
      </c>
      <c r="H290" s="61"/>
    </row>
    <row r="291" spans="1:8" ht="15.75" hidden="1" thickBot="1" x14ac:dyDescent="0.25">
      <c r="A291" s="38" t="s">
        <v>67</v>
      </c>
      <c r="B291" s="30" t="s">
        <v>531</v>
      </c>
      <c r="C291" s="30" t="s">
        <v>58</v>
      </c>
      <c r="D291" s="31">
        <v>45545</v>
      </c>
      <c r="E291" s="31" t="s">
        <v>72</v>
      </c>
      <c r="F291" s="32">
        <v>0.03</v>
      </c>
      <c r="G291" s="31">
        <v>45546</v>
      </c>
      <c r="H291" s="61"/>
    </row>
    <row r="292" spans="1:8" ht="15.75" hidden="1" thickBot="1" x14ac:dyDescent="0.25">
      <c r="A292" s="38" t="s">
        <v>67</v>
      </c>
      <c r="B292" s="30" t="s">
        <v>497</v>
      </c>
      <c r="C292" s="30" t="s">
        <v>485</v>
      </c>
      <c r="D292" s="31">
        <v>45567</v>
      </c>
      <c r="E292" s="31" t="s">
        <v>72</v>
      </c>
      <c r="F292" s="32" t="s">
        <v>221</v>
      </c>
      <c r="G292" s="31">
        <v>45568</v>
      </c>
      <c r="H292" s="61"/>
    </row>
    <row r="293" spans="1:8" ht="15.75" hidden="1" thickBot="1" x14ac:dyDescent="0.25">
      <c r="A293" s="38" t="s">
        <v>67</v>
      </c>
      <c r="B293" s="30" t="s">
        <v>532</v>
      </c>
      <c r="C293" s="30" t="s">
        <v>455</v>
      </c>
      <c r="D293" s="31">
        <v>45573</v>
      </c>
      <c r="E293" s="31" t="s">
        <v>59</v>
      </c>
      <c r="F293" s="32">
        <v>780</v>
      </c>
      <c r="G293" s="31">
        <v>45638</v>
      </c>
      <c r="H293" s="61"/>
    </row>
    <row r="294" spans="1:8" ht="15.75" hidden="1" thickBot="1" x14ac:dyDescent="0.25">
      <c r="A294" s="38" t="s">
        <v>67</v>
      </c>
      <c r="B294" s="30" t="s">
        <v>533</v>
      </c>
      <c r="C294" s="30" t="s">
        <v>162</v>
      </c>
      <c r="D294" s="31">
        <v>45585</v>
      </c>
      <c r="E294" s="31" t="s">
        <v>59</v>
      </c>
      <c r="F294" s="32">
        <v>44</v>
      </c>
      <c r="G294" s="31">
        <v>45592</v>
      </c>
      <c r="H294" s="61"/>
    </row>
    <row r="295" spans="1:8" ht="29.25" hidden="1" thickBot="1" x14ac:dyDescent="0.25">
      <c r="A295" s="38" t="s">
        <v>67</v>
      </c>
      <c r="B295" s="4" t="s">
        <v>534</v>
      </c>
      <c r="C295" s="40" t="s">
        <v>535</v>
      </c>
      <c r="D295" s="41">
        <v>45592</v>
      </c>
      <c r="E295" s="43" t="s">
        <v>59</v>
      </c>
      <c r="F295" s="46">
        <v>0.78</v>
      </c>
      <c r="G295" s="41">
        <v>45595</v>
      </c>
      <c r="H295" s="68" t="s">
        <v>536</v>
      </c>
    </row>
    <row r="296" spans="1:8" ht="15.75" hidden="1" thickBot="1" x14ac:dyDescent="0.25">
      <c r="A296" s="38" t="s">
        <v>67</v>
      </c>
      <c r="B296" s="4" t="s">
        <v>537</v>
      </c>
      <c r="C296" s="40" t="s">
        <v>538</v>
      </c>
      <c r="D296" s="41">
        <v>45600</v>
      </c>
      <c r="E296" s="43" t="s">
        <v>72</v>
      </c>
      <c r="F296" s="47"/>
      <c r="G296" s="31">
        <f>Tableau2[[#This Row],[16/02/2025]]</f>
        <v>45600</v>
      </c>
      <c r="H296" s="68"/>
    </row>
    <row r="297" spans="1:8" ht="15.75" hidden="1" thickBot="1" x14ac:dyDescent="0.25">
      <c r="A297" s="38" t="s">
        <v>67</v>
      </c>
      <c r="B297" s="4" t="s">
        <v>539</v>
      </c>
      <c r="C297" s="40" t="s">
        <v>485</v>
      </c>
      <c r="D297" s="41">
        <v>45617</v>
      </c>
      <c r="E297" s="43" t="s">
        <v>59</v>
      </c>
      <c r="F297" s="47">
        <v>210</v>
      </c>
      <c r="G297" s="41">
        <v>45637</v>
      </c>
      <c r="H297" s="68"/>
    </row>
    <row r="298" spans="1:8" ht="15.75" hidden="1" thickBot="1" x14ac:dyDescent="0.25">
      <c r="A298" s="38" t="s">
        <v>67</v>
      </c>
      <c r="B298" s="4" t="s">
        <v>540</v>
      </c>
      <c r="C298" s="40" t="s">
        <v>455</v>
      </c>
      <c r="D298" s="41">
        <v>45621</v>
      </c>
      <c r="E298" s="43" t="s">
        <v>59</v>
      </c>
      <c r="F298" s="47">
        <v>42</v>
      </c>
      <c r="G298" s="41">
        <v>45633</v>
      </c>
      <c r="H298" s="68"/>
    </row>
    <row r="299" spans="1:8" ht="15.75" hidden="1" thickBot="1" x14ac:dyDescent="0.25">
      <c r="A299" s="38" t="s">
        <v>67</v>
      </c>
      <c r="B299" s="4" t="s">
        <v>541</v>
      </c>
      <c r="C299" s="40" t="s">
        <v>209</v>
      </c>
      <c r="D299" s="41">
        <v>45643</v>
      </c>
      <c r="E299" s="43" t="s">
        <v>59</v>
      </c>
      <c r="F299" s="47" t="s">
        <v>486</v>
      </c>
      <c r="G299" s="41">
        <v>45649</v>
      </c>
      <c r="H299" s="68"/>
    </row>
    <row r="300" spans="1:8" ht="15.75" hidden="1" thickBot="1" x14ac:dyDescent="0.25">
      <c r="A300" s="38" t="s">
        <v>67</v>
      </c>
      <c r="B300" s="4" t="s">
        <v>542</v>
      </c>
      <c r="C300" s="40" t="s">
        <v>543</v>
      </c>
      <c r="D300" s="41">
        <v>45643</v>
      </c>
      <c r="E300" s="43" t="s">
        <v>59</v>
      </c>
      <c r="F300" s="47" t="s">
        <v>486</v>
      </c>
      <c r="G300" s="41">
        <v>45655</v>
      </c>
      <c r="H300" s="68"/>
    </row>
    <row r="301" spans="1:8" ht="29.25" hidden="1" thickBot="1" x14ac:dyDescent="0.25">
      <c r="A301" s="38" t="s">
        <v>67</v>
      </c>
      <c r="B301" s="4" t="s">
        <v>544</v>
      </c>
      <c r="C301" s="40" t="s">
        <v>545</v>
      </c>
      <c r="D301" s="41">
        <v>45651</v>
      </c>
      <c r="E301" s="43" t="s">
        <v>59</v>
      </c>
      <c r="F301" s="47">
        <v>14</v>
      </c>
      <c r="G301" s="41">
        <v>45663</v>
      </c>
      <c r="H301" s="68"/>
    </row>
    <row r="302" spans="1:8" ht="15.75" hidden="1" thickBot="1" x14ac:dyDescent="0.25">
      <c r="A302" s="38" t="s">
        <v>327</v>
      </c>
      <c r="B302" s="30" t="s">
        <v>546</v>
      </c>
      <c r="C302" s="30" t="s">
        <v>276</v>
      </c>
      <c r="D302" s="31">
        <v>45432</v>
      </c>
      <c r="E302" s="32" t="s">
        <v>59</v>
      </c>
      <c r="F302" s="32" t="s">
        <v>486</v>
      </c>
      <c r="G302" s="31">
        <v>45448</v>
      </c>
      <c r="H302" s="61"/>
    </row>
    <row r="303" spans="1:8" ht="29.25" hidden="1" thickBot="1" x14ac:dyDescent="0.25">
      <c r="A303" s="38" t="s">
        <v>327</v>
      </c>
      <c r="B303" s="30" t="s">
        <v>547</v>
      </c>
      <c r="C303" s="30" t="s">
        <v>136</v>
      </c>
      <c r="D303" s="31">
        <v>45580</v>
      </c>
      <c r="E303" s="31" t="s">
        <v>59</v>
      </c>
      <c r="F303" s="32" t="s">
        <v>221</v>
      </c>
      <c r="G303" s="31">
        <v>45583</v>
      </c>
      <c r="H303" s="61"/>
    </row>
    <row r="304" spans="1:8" ht="15.75" hidden="1" thickBot="1" x14ac:dyDescent="0.25">
      <c r="A304" s="48" t="s">
        <v>327</v>
      </c>
      <c r="B304" s="49" t="s">
        <v>548</v>
      </c>
      <c r="C304" s="36" t="s">
        <v>549</v>
      </c>
      <c r="D304" s="35">
        <v>45630</v>
      </c>
      <c r="E304" s="34" t="s">
        <v>59</v>
      </c>
      <c r="F304" s="34" t="s">
        <v>221</v>
      </c>
      <c r="G304" s="31">
        <f>Tableau2[[#This Row],[16/02/2025]]</f>
        <v>45630</v>
      </c>
      <c r="H304" s="60"/>
    </row>
    <row r="305" spans="1:8" ht="15.75" hidden="1" thickBot="1" x14ac:dyDescent="0.25">
      <c r="A305" s="21" t="s">
        <v>132</v>
      </c>
      <c r="B305" s="7" t="s">
        <v>361</v>
      </c>
      <c r="C305" s="7" t="s">
        <v>362</v>
      </c>
      <c r="D305" s="8">
        <v>45582</v>
      </c>
      <c r="E305" s="9" t="s">
        <v>72</v>
      </c>
      <c r="F305" s="9">
        <v>34500</v>
      </c>
      <c r="G305" s="8">
        <v>45846</v>
      </c>
      <c r="H305" s="64"/>
    </row>
    <row r="306" spans="1:8" ht="15.75" hidden="1" thickBot="1" x14ac:dyDescent="0.25">
      <c r="A306" s="21" t="s">
        <v>132</v>
      </c>
      <c r="B306" s="7" t="s">
        <v>365</v>
      </c>
      <c r="C306" s="7" t="s">
        <v>366</v>
      </c>
      <c r="D306" s="8">
        <v>45601</v>
      </c>
      <c r="E306" s="9" t="s">
        <v>72</v>
      </c>
      <c r="F306" s="9">
        <v>9810</v>
      </c>
      <c r="G306" s="8">
        <v>45784</v>
      </c>
      <c r="H306" s="64"/>
    </row>
    <row r="307" spans="1:8" ht="15.75" hidden="1" thickBot="1" x14ac:dyDescent="0.25">
      <c r="A307" s="21" t="s">
        <v>132</v>
      </c>
      <c r="B307" s="7" t="s">
        <v>550</v>
      </c>
      <c r="C307" s="7" t="s">
        <v>266</v>
      </c>
      <c r="D307" s="8">
        <v>45697</v>
      </c>
      <c r="E307" s="9" t="s">
        <v>109</v>
      </c>
      <c r="F307" s="9">
        <v>102</v>
      </c>
      <c r="G307" s="8">
        <v>45699</v>
      </c>
      <c r="H307" s="69"/>
    </row>
    <row r="308" spans="1:8" ht="15.75" hidden="1" thickBot="1" x14ac:dyDescent="0.25">
      <c r="A308" s="21" t="s">
        <v>132</v>
      </c>
      <c r="B308" s="7" t="s">
        <v>551</v>
      </c>
      <c r="C308" s="7" t="s">
        <v>323</v>
      </c>
      <c r="D308" s="8">
        <v>45707</v>
      </c>
      <c r="E308" s="9" t="s">
        <v>59</v>
      </c>
      <c r="F308" s="9">
        <v>834</v>
      </c>
      <c r="G308" s="8">
        <v>45721</v>
      </c>
      <c r="H308" s="64"/>
    </row>
    <row r="309" spans="1:8" ht="15.75" hidden="1" thickBot="1" x14ac:dyDescent="0.25">
      <c r="A309" s="21" t="s">
        <v>132</v>
      </c>
      <c r="B309" s="7" t="s">
        <v>552</v>
      </c>
      <c r="C309" s="7" t="s">
        <v>103</v>
      </c>
      <c r="D309" s="8">
        <v>45707</v>
      </c>
      <c r="E309" s="9" t="s">
        <v>59</v>
      </c>
      <c r="F309" s="9">
        <v>15</v>
      </c>
      <c r="G309" s="8">
        <v>45713</v>
      </c>
      <c r="H309" s="69"/>
    </row>
    <row r="310" spans="1:8" ht="15.75" hidden="1" thickBot="1" x14ac:dyDescent="0.25">
      <c r="A310" s="21" t="s">
        <v>132</v>
      </c>
      <c r="B310" s="7" t="s">
        <v>333</v>
      </c>
      <c r="C310" s="7" t="s">
        <v>553</v>
      </c>
      <c r="D310" s="8">
        <v>45733</v>
      </c>
      <c r="E310" s="9" t="s">
        <v>59</v>
      </c>
      <c r="F310" s="9">
        <v>177</v>
      </c>
      <c r="G310" s="8">
        <v>45734</v>
      </c>
      <c r="H310" s="69"/>
    </row>
    <row r="311" spans="1:8" ht="15.75" hidden="1" thickBot="1" x14ac:dyDescent="0.25">
      <c r="A311" s="21" t="s">
        <v>132</v>
      </c>
      <c r="B311" s="7" t="s">
        <v>554</v>
      </c>
      <c r="C311" s="7" t="s">
        <v>366</v>
      </c>
      <c r="D311" s="8">
        <v>45734</v>
      </c>
      <c r="E311" s="9" t="s">
        <v>59</v>
      </c>
      <c r="F311" s="9">
        <v>1270</v>
      </c>
      <c r="G311" s="8">
        <v>45741</v>
      </c>
      <c r="H311" s="69"/>
    </row>
    <row r="312" spans="1:8" ht="15.75" hidden="1" thickBot="1" x14ac:dyDescent="0.25">
      <c r="A312" s="21" t="s">
        <v>132</v>
      </c>
      <c r="B312" s="7" t="s">
        <v>555</v>
      </c>
      <c r="C312" s="7" t="s">
        <v>366</v>
      </c>
      <c r="D312" s="8">
        <v>45739</v>
      </c>
      <c r="E312" s="9" t="s">
        <v>59</v>
      </c>
      <c r="F312" s="9">
        <v>2140</v>
      </c>
      <c r="G312" s="8">
        <v>45767</v>
      </c>
      <c r="H312" s="69"/>
    </row>
    <row r="313" spans="1:8" ht="15.75" hidden="1" thickBot="1" x14ac:dyDescent="0.25">
      <c r="A313" s="21" t="s">
        <v>132</v>
      </c>
      <c r="B313" s="7" t="s">
        <v>556</v>
      </c>
      <c r="C313" s="7" t="s">
        <v>366</v>
      </c>
      <c r="D313" s="8">
        <v>45742</v>
      </c>
      <c r="E313" s="9" t="s">
        <v>59</v>
      </c>
      <c r="F313" s="9">
        <v>1690</v>
      </c>
      <c r="G313" s="8">
        <v>45751</v>
      </c>
      <c r="H313" s="69"/>
    </row>
    <row r="314" spans="1:8" ht="15.75" hidden="1" thickBot="1" x14ac:dyDescent="0.25">
      <c r="A314" s="21" t="s">
        <v>132</v>
      </c>
      <c r="B314" s="7" t="s">
        <v>557</v>
      </c>
      <c r="C314" s="7" t="s">
        <v>366</v>
      </c>
      <c r="D314" s="8">
        <v>45743</v>
      </c>
      <c r="E314" s="9" t="s">
        <v>59</v>
      </c>
      <c r="F314" s="9">
        <v>40</v>
      </c>
      <c r="G314" s="8">
        <v>45777</v>
      </c>
      <c r="H314" s="69"/>
    </row>
    <row r="315" spans="1:8" ht="15.75" hidden="1" thickBot="1" x14ac:dyDescent="0.25">
      <c r="A315" s="21" t="s">
        <v>132</v>
      </c>
      <c r="B315" s="7" t="s">
        <v>558</v>
      </c>
      <c r="C315" s="7" t="s">
        <v>559</v>
      </c>
      <c r="D315" s="8">
        <v>45762</v>
      </c>
      <c r="E315" s="9" t="s">
        <v>59</v>
      </c>
      <c r="F315" s="9">
        <v>27.2</v>
      </c>
      <c r="G315" s="8">
        <v>45763</v>
      </c>
      <c r="H315" s="69"/>
    </row>
    <row r="316" spans="1:8" ht="15.75" hidden="1" thickBot="1" x14ac:dyDescent="0.25">
      <c r="A316" s="21" t="s">
        <v>132</v>
      </c>
      <c r="B316" s="7" t="s">
        <v>289</v>
      </c>
      <c r="C316" s="7" t="s">
        <v>560</v>
      </c>
      <c r="D316" s="8">
        <v>45785</v>
      </c>
      <c r="E316" s="9" t="s">
        <v>59</v>
      </c>
      <c r="F316" s="9">
        <v>4960</v>
      </c>
      <c r="G316" s="8">
        <v>45792</v>
      </c>
      <c r="H316" s="69"/>
    </row>
    <row r="317" spans="1:8" ht="15.75" hidden="1" thickBot="1" x14ac:dyDescent="0.25">
      <c r="A317" s="21" t="s">
        <v>132</v>
      </c>
      <c r="B317" s="7" t="s">
        <v>642</v>
      </c>
      <c r="C317" s="7" t="s">
        <v>643</v>
      </c>
      <c r="D317" s="8">
        <v>45838</v>
      </c>
      <c r="E317" s="9" t="s">
        <v>109</v>
      </c>
      <c r="F317" s="10">
        <v>1.25</v>
      </c>
      <c r="G317" s="8">
        <v>45840</v>
      </c>
      <c r="H317" s="69"/>
    </row>
    <row r="318" spans="1:8" ht="15.75" hidden="1" thickBot="1" x14ac:dyDescent="0.25">
      <c r="A318" s="21" t="s">
        <v>132</v>
      </c>
      <c r="B318" s="7" t="s">
        <v>650</v>
      </c>
      <c r="C318" s="7" t="s">
        <v>231</v>
      </c>
      <c r="D318" s="8">
        <v>45847</v>
      </c>
      <c r="E318" s="8" t="s">
        <v>72</v>
      </c>
      <c r="F318" s="9">
        <v>0.2</v>
      </c>
      <c r="G318" s="8">
        <v>45848</v>
      </c>
      <c r="H318" s="69"/>
    </row>
    <row r="319" spans="1:8" ht="15.75" hidden="1" thickBot="1" x14ac:dyDescent="0.25">
      <c r="A319" s="21" t="s">
        <v>132</v>
      </c>
      <c r="B319" s="7" t="s">
        <v>693</v>
      </c>
      <c r="C319" s="7" t="s">
        <v>334</v>
      </c>
      <c r="D319" s="8">
        <v>45950</v>
      </c>
      <c r="E319" s="9" t="s">
        <v>72</v>
      </c>
      <c r="F319" s="9">
        <v>51.2</v>
      </c>
      <c r="G319" s="8">
        <v>45951</v>
      </c>
      <c r="H319" s="69"/>
    </row>
    <row r="320" spans="1:8" ht="15.75" thickBot="1" x14ac:dyDescent="0.25">
      <c r="A320" s="14" t="s">
        <v>6</v>
      </c>
      <c r="B320" s="7" t="s">
        <v>561</v>
      </c>
      <c r="C320" s="7" t="s">
        <v>562</v>
      </c>
      <c r="D320" s="8">
        <v>45665</v>
      </c>
      <c r="E320" s="8" t="s">
        <v>109</v>
      </c>
      <c r="F320" s="9">
        <v>3.4</v>
      </c>
      <c r="G320" s="8">
        <v>45666</v>
      </c>
      <c r="H320" s="69"/>
    </row>
    <row r="321" spans="1:8" ht="15.75" thickBot="1" x14ac:dyDescent="0.25">
      <c r="A321" s="14" t="s">
        <v>6</v>
      </c>
      <c r="B321" s="7" t="s">
        <v>563</v>
      </c>
      <c r="C321" s="7" t="s">
        <v>564</v>
      </c>
      <c r="D321" s="8">
        <v>45679</v>
      </c>
      <c r="E321" s="9" t="s">
        <v>72</v>
      </c>
      <c r="F321" s="9">
        <v>40</v>
      </c>
      <c r="G321" s="8">
        <v>45687</v>
      </c>
      <c r="H321" s="69"/>
    </row>
    <row r="322" spans="1:8" ht="15.75" thickBot="1" x14ac:dyDescent="0.25">
      <c r="A322" s="14" t="s">
        <v>6</v>
      </c>
      <c r="B322" s="7" t="s">
        <v>565</v>
      </c>
      <c r="C322" s="7" t="s">
        <v>566</v>
      </c>
      <c r="D322" s="8">
        <v>45693</v>
      </c>
      <c r="E322" s="9" t="s">
        <v>72</v>
      </c>
      <c r="F322" s="9">
        <v>0.01</v>
      </c>
      <c r="G322" s="8">
        <v>45693</v>
      </c>
      <c r="H322" s="69"/>
    </row>
    <row r="323" spans="1:8" ht="15.75" thickBot="1" x14ac:dyDescent="0.25">
      <c r="A323" s="14" t="s">
        <v>6</v>
      </c>
      <c r="B323" s="7" t="s">
        <v>567</v>
      </c>
      <c r="C323" s="7" t="s">
        <v>568</v>
      </c>
      <c r="D323" s="8">
        <v>45700</v>
      </c>
      <c r="E323" s="9" t="s">
        <v>109</v>
      </c>
      <c r="F323" s="9">
        <v>25</v>
      </c>
      <c r="G323" s="8">
        <v>45707</v>
      </c>
      <c r="H323" s="69"/>
    </row>
    <row r="324" spans="1:8" ht="15.75" thickBot="1" x14ac:dyDescent="0.25">
      <c r="A324" s="14" t="s">
        <v>6</v>
      </c>
      <c r="B324" s="7" t="s">
        <v>569</v>
      </c>
      <c r="C324" s="7" t="s">
        <v>758</v>
      </c>
      <c r="D324" s="8">
        <v>45705</v>
      </c>
      <c r="E324" s="9" t="s">
        <v>109</v>
      </c>
      <c r="F324" s="9">
        <v>450</v>
      </c>
      <c r="G324" s="8"/>
      <c r="H324" s="69"/>
    </row>
    <row r="325" spans="1:8" ht="30.75" thickBot="1" x14ac:dyDescent="0.25">
      <c r="A325" s="14" t="s">
        <v>6</v>
      </c>
      <c r="B325" s="7" t="s">
        <v>570</v>
      </c>
      <c r="C325" s="7" t="s">
        <v>175</v>
      </c>
      <c r="D325" s="8">
        <v>45729</v>
      </c>
      <c r="E325" s="9" t="s">
        <v>59</v>
      </c>
      <c r="F325" s="9">
        <v>0.82</v>
      </c>
      <c r="G325" s="8">
        <v>45734</v>
      </c>
      <c r="H325" s="69"/>
    </row>
    <row r="326" spans="1:8" ht="15.75" thickBot="1" x14ac:dyDescent="0.25">
      <c r="A326" s="14" t="s">
        <v>6</v>
      </c>
      <c r="B326" s="7" t="s">
        <v>571</v>
      </c>
      <c r="C326" s="7" t="s">
        <v>572</v>
      </c>
      <c r="D326" s="8">
        <v>45733</v>
      </c>
      <c r="E326" s="9" t="s">
        <v>59</v>
      </c>
      <c r="F326" s="9">
        <v>280</v>
      </c>
      <c r="G326" s="8">
        <v>45776</v>
      </c>
      <c r="H326" s="69"/>
    </row>
    <row r="327" spans="1:8" ht="15.75" thickBot="1" x14ac:dyDescent="0.25">
      <c r="A327" s="14" t="s">
        <v>6</v>
      </c>
      <c r="B327" s="7" t="s">
        <v>573</v>
      </c>
      <c r="C327" s="7" t="s">
        <v>574</v>
      </c>
      <c r="D327" s="8">
        <v>45734</v>
      </c>
      <c r="E327" s="9" t="s">
        <v>72</v>
      </c>
      <c r="F327" s="9">
        <v>0.01</v>
      </c>
      <c r="G327" s="8">
        <v>45734</v>
      </c>
      <c r="H327" s="69"/>
    </row>
    <row r="328" spans="1:8" ht="15.75" thickBot="1" x14ac:dyDescent="0.25">
      <c r="A328" s="14" t="s">
        <v>6</v>
      </c>
      <c r="B328" s="7" t="s">
        <v>388</v>
      </c>
      <c r="C328" s="7" t="s">
        <v>323</v>
      </c>
      <c r="D328" s="8">
        <v>45802</v>
      </c>
      <c r="E328" s="9" t="s">
        <v>72</v>
      </c>
      <c r="F328" s="9">
        <v>14700</v>
      </c>
      <c r="G328" s="8">
        <v>45932</v>
      </c>
      <c r="H328" s="69"/>
    </row>
    <row r="329" spans="1:8" ht="15.75" thickBot="1" x14ac:dyDescent="0.25">
      <c r="A329" s="14" t="s">
        <v>6</v>
      </c>
      <c r="B329" s="7" t="s">
        <v>575</v>
      </c>
      <c r="C329" s="7" t="s">
        <v>576</v>
      </c>
      <c r="D329" s="8">
        <v>45805</v>
      </c>
      <c r="E329" s="9" t="s">
        <v>109</v>
      </c>
      <c r="F329" s="9">
        <v>33</v>
      </c>
      <c r="G329" s="8">
        <v>45819</v>
      </c>
      <c r="H329" s="69"/>
    </row>
    <row r="330" spans="1:8" ht="15.75" thickBot="1" x14ac:dyDescent="0.25">
      <c r="A330" s="14" t="s">
        <v>6</v>
      </c>
      <c r="B330" s="7" t="s">
        <v>577</v>
      </c>
      <c r="C330" s="7" t="s">
        <v>576</v>
      </c>
      <c r="D330" s="8">
        <v>45805</v>
      </c>
      <c r="E330" s="8" t="s">
        <v>109</v>
      </c>
      <c r="F330" s="9">
        <v>22</v>
      </c>
      <c r="G330" s="8">
        <v>45819</v>
      </c>
      <c r="H330" s="69"/>
    </row>
    <row r="331" spans="1:8" ht="30.75" thickBot="1" x14ac:dyDescent="0.25">
      <c r="A331" s="14" t="s">
        <v>6</v>
      </c>
      <c r="B331" s="7" t="s">
        <v>578</v>
      </c>
      <c r="C331" s="7" t="s">
        <v>576</v>
      </c>
      <c r="D331" s="8">
        <v>45805</v>
      </c>
      <c r="E331" s="8" t="s">
        <v>109</v>
      </c>
      <c r="F331" s="9">
        <v>0.4</v>
      </c>
      <c r="G331" s="8">
        <v>45819</v>
      </c>
      <c r="H331" s="69"/>
    </row>
    <row r="332" spans="1:8" ht="15.75" thickBot="1" x14ac:dyDescent="0.25">
      <c r="A332" s="14" t="s">
        <v>6</v>
      </c>
      <c r="B332" s="51" t="s">
        <v>579</v>
      </c>
      <c r="C332" s="7" t="s">
        <v>580</v>
      </c>
      <c r="D332" s="8">
        <v>45809</v>
      </c>
      <c r="E332" s="8" t="s">
        <v>109</v>
      </c>
      <c r="F332" s="9">
        <v>113</v>
      </c>
      <c r="G332" s="8">
        <v>45819</v>
      </c>
      <c r="H332" s="69"/>
    </row>
    <row r="333" spans="1:8" ht="15.75" thickBot="1" x14ac:dyDescent="0.25">
      <c r="A333" s="14" t="s">
        <v>6</v>
      </c>
      <c r="B333" s="7" t="s">
        <v>639</v>
      </c>
      <c r="C333" s="7" t="s">
        <v>667</v>
      </c>
      <c r="D333" s="8">
        <v>45824</v>
      </c>
      <c r="E333" s="8" t="s">
        <v>59</v>
      </c>
      <c r="F333" s="9">
        <v>2000</v>
      </c>
      <c r="G333" s="8">
        <v>45834</v>
      </c>
      <c r="H333" s="69"/>
    </row>
    <row r="334" spans="1:8" ht="75.75" thickBot="1" x14ac:dyDescent="0.25">
      <c r="A334" s="14" t="s">
        <v>6</v>
      </c>
      <c r="B334" s="7" t="s">
        <v>640</v>
      </c>
      <c r="C334" s="7" t="s">
        <v>562</v>
      </c>
      <c r="D334" s="8">
        <v>45824</v>
      </c>
      <c r="E334" s="8" t="s">
        <v>109</v>
      </c>
      <c r="F334" s="9">
        <v>40</v>
      </c>
      <c r="G334" s="8">
        <v>45830</v>
      </c>
      <c r="H334" s="69"/>
    </row>
    <row r="335" spans="1:8" ht="15.75" thickBot="1" x14ac:dyDescent="0.25">
      <c r="A335" s="14" t="s">
        <v>6</v>
      </c>
      <c r="B335" s="7" t="s">
        <v>575</v>
      </c>
      <c r="C335" s="7" t="s">
        <v>641</v>
      </c>
      <c r="D335" s="8">
        <v>45824</v>
      </c>
      <c r="E335" s="8" t="s">
        <v>109</v>
      </c>
      <c r="F335" s="9">
        <v>0.3</v>
      </c>
      <c r="G335" s="8">
        <v>45830</v>
      </c>
      <c r="H335" s="69"/>
    </row>
    <row r="336" spans="1:8" ht="15.75" thickBot="1" x14ac:dyDescent="0.25">
      <c r="A336" s="14" t="s">
        <v>6</v>
      </c>
      <c r="B336" s="7" t="s">
        <v>646</v>
      </c>
      <c r="C336" s="7" t="s">
        <v>647</v>
      </c>
      <c r="D336" s="8">
        <v>45840</v>
      </c>
      <c r="E336" s="8" t="s">
        <v>59</v>
      </c>
      <c r="F336" s="9">
        <v>125</v>
      </c>
      <c r="G336" s="8">
        <v>45848</v>
      </c>
      <c r="H336" s="69"/>
    </row>
    <row r="337" spans="1:8" ht="15.75" thickBot="1" x14ac:dyDescent="0.25">
      <c r="A337" s="14" t="s">
        <v>6</v>
      </c>
      <c r="B337" s="7" t="s">
        <v>651</v>
      </c>
      <c r="C337" s="7" t="s">
        <v>652</v>
      </c>
      <c r="D337" s="8">
        <v>45845</v>
      </c>
      <c r="E337" s="8" t="s">
        <v>109</v>
      </c>
      <c r="F337" s="9">
        <v>2</v>
      </c>
      <c r="G337" s="8">
        <v>45848</v>
      </c>
      <c r="H337" s="69"/>
    </row>
    <row r="338" spans="1:8" ht="15.75" thickBot="1" x14ac:dyDescent="0.25">
      <c r="A338" s="14" t="s">
        <v>6</v>
      </c>
      <c r="B338" s="7" t="s">
        <v>658</v>
      </c>
      <c r="C338" s="7" t="s">
        <v>568</v>
      </c>
      <c r="D338" s="8">
        <v>45872</v>
      </c>
      <c r="E338" s="8" t="s">
        <v>59</v>
      </c>
      <c r="F338" s="9">
        <v>67</v>
      </c>
      <c r="G338" s="8">
        <v>45887</v>
      </c>
      <c r="H338" s="69"/>
    </row>
    <row r="339" spans="1:8" ht="15.75" thickBot="1" x14ac:dyDescent="0.25">
      <c r="A339" s="14" t="s">
        <v>6</v>
      </c>
      <c r="B339" s="7" t="s">
        <v>686</v>
      </c>
      <c r="C339" s="7" t="s">
        <v>665</v>
      </c>
      <c r="D339" s="8">
        <v>45888</v>
      </c>
      <c r="E339" s="8" t="s">
        <v>67</v>
      </c>
      <c r="F339" s="9">
        <v>205</v>
      </c>
      <c r="G339" s="8">
        <v>45931</v>
      </c>
      <c r="H339" s="69"/>
    </row>
    <row r="340" spans="1:8" ht="15.75" thickBot="1" x14ac:dyDescent="0.25">
      <c r="A340" s="14" t="s">
        <v>6</v>
      </c>
      <c r="B340" s="7" t="s">
        <v>666</v>
      </c>
      <c r="C340" s="7" t="s">
        <v>8</v>
      </c>
      <c r="D340" s="8">
        <v>45894</v>
      </c>
      <c r="E340" s="8" t="s">
        <v>109</v>
      </c>
      <c r="F340" s="9">
        <v>0.9</v>
      </c>
      <c r="G340" s="8">
        <v>45900</v>
      </c>
      <c r="H340" s="69"/>
    </row>
    <row r="341" spans="1:8" ht="15.75" thickBot="1" x14ac:dyDescent="0.25">
      <c r="A341" s="14" t="s">
        <v>6</v>
      </c>
      <c r="B341" s="7" t="s">
        <v>668</v>
      </c>
      <c r="C341" s="7" t="s">
        <v>669</v>
      </c>
      <c r="D341" s="8">
        <v>45901</v>
      </c>
      <c r="E341" s="8" t="s">
        <v>59</v>
      </c>
      <c r="F341" s="9">
        <v>9440</v>
      </c>
      <c r="G341" s="8">
        <v>45917</v>
      </c>
      <c r="H341" s="69"/>
    </row>
    <row r="342" spans="1:8" ht="15.75" thickBot="1" x14ac:dyDescent="0.25">
      <c r="A342" s="14" t="s">
        <v>6</v>
      </c>
      <c r="B342" s="7" t="s">
        <v>670</v>
      </c>
      <c r="C342" s="7" t="s">
        <v>8</v>
      </c>
      <c r="D342" s="8">
        <v>45902</v>
      </c>
      <c r="E342" s="8" t="s">
        <v>109</v>
      </c>
      <c r="F342" s="9">
        <v>0.85</v>
      </c>
      <c r="G342" s="8">
        <v>45902</v>
      </c>
      <c r="H342" s="69"/>
    </row>
    <row r="343" spans="1:8" ht="15.75" thickBot="1" x14ac:dyDescent="0.25">
      <c r="A343" s="14" t="s">
        <v>6</v>
      </c>
      <c r="B343" s="7" t="s">
        <v>671</v>
      </c>
      <c r="C343" s="7" t="s">
        <v>485</v>
      </c>
      <c r="D343" s="8">
        <v>45910</v>
      </c>
      <c r="E343" s="8" t="s">
        <v>59</v>
      </c>
      <c r="F343" s="9">
        <v>10500</v>
      </c>
      <c r="G343" s="8">
        <v>45935</v>
      </c>
      <c r="H343" s="69"/>
    </row>
    <row r="344" spans="1:8" ht="15.75" thickBot="1" x14ac:dyDescent="0.25">
      <c r="A344" s="14" t="s">
        <v>6</v>
      </c>
      <c r="B344" s="7" t="s">
        <v>674</v>
      </c>
      <c r="C344" s="7" t="s">
        <v>8</v>
      </c>
      <c r="D344" s="8">
        <v>45915</v>
      </c>
      <c r="E344" s="8" t="s">
        <v>109</v>
      </c>
      <c r="F344" s="9">
        <v>0.4</v>
      </c>
      <c r="G344" s="8">
        <v>45916</v>
      </c>
      <c r="H344" s="69"/>
    </row>
    <row r="345" spans="1:8" ht="30.75" thickBot="1" x14ac:dyDescent="0.25">
      <c r="A345" s="14" t="s">
        <v>6</v>
      </c>
      <c r="B345" s="7" t="s">
        <v>675</v>
      </c>
      <c r="C345" s="7" t="s">
        <v>8</v>
      </c>
      <c r="D345" s="8">
        <v>45916</v>
      </c>
      <c r="E345" s="8" t="s">
        <v>109</v>
      </c>
      <c r="F345" s="9">
        <v>1.02</v>
      </c>
      <c r="G345" s="8">
        <v>45917</v>
      </c>
      <c r="H345" s="69"/>
    </row>
    <row r="346" spans="1:8" ht="15.75" thickBot="1" x14ac:dyDescent="0.25">
      <c r="A346" s="14" t="s">
        <v>6</v>
      </c>
      <c r="B346" s="7" t="s">
        <v>680</v>
      </c>
      <c r="C346" s="7" t="s">
        <v>681</v>
      </c>
      <c r="D346" s="8">
        <v>45922</v>
      </c>
      <c r="E346" s="8" t="s">
        <v>59</v>
      </c>
      <c r="F346" s="9">
        <v>207</v>
      </c>
      <c r="G346" s="8">
        <v>45926</v>
      </c>
      <c r="H346" s="69"/>
    </row>
    <row r="347" spans="1:8" ht="30.75" thickBot="1" x14ac:dyDescent="0.25">
      <c r="A347" s="14" t="s">
        <v>6</v>
      </c>
      <c r="B347" s="7" t="s">
        <v>675</v>
      </c>
      <c r="C347" s="7" t="s">
        <v>682</v>
      </c>
      <c r="D347" s="8">
        <v>45922</v>
      </c>
      <c r="E347" s="8" t="s">
        <v>109</v>
      </c>
      <c r="F347" s="9">
        <v>12</v>
      </c>
      <c r="G347" s="8">
        <v>45929</v>
      </c>
      <c r="H347" s="69"/>
    </row>
    <row r="348" spans="1:8" ht="15.75" thickBot="1" x14ac:dyDescent="0.25">
      <c r="A348" s="14" t="s">
        <v>6</v>
      </c>
      <c r="B348" s="7" t="s">
        <v>687</v>
      </c>
      <c r="C348" s="7" t="s">
        <v>8</v>
      </c>
      <c r="D348" s="8">
        <v>45943</v>
      </c>
      <c r="E348" s="8" t="s">
        <v>109</v>
      </c>
      <c r="F348" s="9">
        <v>0.9</v>
      </c>
      <c r="G348" s="8">
        <v>45944</v>
      </c>
      <c r="H348" s="69"/>
    </row>
    <row r="349" spans="1:8" ht="15.75" thickBot="1" x14ac:dyDescent="0.25">
      <c r="A349" s="14" t="s">
        <v>6</v>
      </c>
      <c r="B349" s="7" t="s">
        <v>688</v>
      </c>
      <c r="C349" s="7" t="s">
        <v>328</v>
      </c>
      <c r="D349" s="8">
        <v>45943</v>
      </c>
      <c r="E349" s="8" t="s">
        <v>59</v>
      </c>
      <c r="F349" s="9">
        <v>3000</v>
      </c>
      <c r="G349" s="31">
        <v>46058</v>
      </c>
      <c r="H349" s="69"/>
    </row>
    <row r="350" spans="1:8" ht="15.75" thickBot="1" x14ac:dyDescent="0.25">
      <c r="A350" s="14" t="s">
        <v>6</v>
      </c>
      <c r="B350" s="7" t="s">
        <v>689</v>
      </c>
      <c r="C350" s="7" t="s">
        <v>328</v>
      </c>
      <c r="D350" s="8">
        <v>45943</v>
      </c>
      <c r="E350" s="8" t="s">
        <v>59</v>
      </c>
      <c r="F350" s="9" t="s">
        <v>884</v>
      </c>
      <c r="G350" s="31"/>
      <c r="H350" s="33" t="s">
        <v>807</v>
      </c>
    </row>
    <row r="351" spans="1:8" ht="15.75" thickBot="1" x14ac:dyDescent="0.25">
      <c r="A351" s="14" t="s">
        <v>6</v>
      </c>
      <c r="B351" s="7" t="s">
        <v>296</v>
      </c>
      <c r="C351" s="7" t="s">
        <v>328</v>
      </c>
      <c r="D351" s="8">
        <v>45943</v>
      </c>
      <c r="E351" s="8" t="s">
        <v>59</v>
      </c>
      <c r="F351" s="9">
        <v>1000</v>
      </c>
      <c r="G351" s="8"/>
      <c r="H351" s="69"/>
    </row>
    <row r="352" spans="1:8" ht="15.75" thickBot="1" x14ac:dyDescent="0.25">
      <c r="A352" s="14" t="s">
        <v>6</v>
      </c>
      <c r="B352" s="7" t="s">
        <v>690</v>
      </c>
      <c r="C352" s="7" t="s">
        <v>8</v>
      </c>
      <c r="D352" s="8">
        <v>45944</v>
      </c>
      <c r="E352" s="8" t="s">
        <v>109</v>
      </c>
      <c r="F352" s="9">
        <v>1.5</v>
      </c>
      <c r="G352" s="8">
        <v>45944</v>
      </c>
      <c r="H352" s="69"/>
    </row>
    <row r="353" spans="1:8" ht="15.75" thickBot="1" x14ac:dyDescent="0.25">
      <c r="A353" s="14" t="s">
        <v>6</v>
      </c>
      <c r="B353" s="7" t="s">
        <v>451</v>
      </c>
      <c r="C353" s="7" t="s">
        <v>175</v>
      </c>
      <c r="D353" s="8">
        <v>45945</v>
      </c>
      <c r="E353" s="8" t="s">
        <v>109</v>
      </c>
      <c r="F353" s="9">
        <v>0.9</v>
      </c>
      <c r="G353" s="8">
        <v>45946</v>
      </c>
      <c r="H353" s="69"/>
    </row>
    <row r="354" spans="1:8" ht="15.75" thickBot="1" x14ac:dyDescent="0.25">
      <c r="A354" s="14" t="s">
        <v>6</v>
      </c>
      <c r="B354" s="7" t="s">
        <v>696</v>
      </c>
      <c r="C354" s="7" t="s">
        <v>8</v>
      </c>
      <c r="D354" s="8">
        <v>45952</v>
      </c>
      <c r="E354" s="8" t="s">
        <v>109</v>
      </c>
      <c r="F354" s="9">
        <v>0.88</v>
      </c>
      <c r="G354" s="8">
        <v>45952</v>
      </c>
      <c r="H354" s="69"/>
    </row>
    <row r="355" spans="1:8" ht="15.75" thickBot="1" x14ac:dyDescent="0.25">
      <c r="A355" s="14" t="s">
        <v>6</v>
      </c>
      <c r="B355" s="7" t="s">
        <v>76</v>
      </c>
      <c r="C355" s="7" t="s">
        <v>580</v>
      </c>
      <c r="D355" s="8">
        <v>45950</v>
      </c>
      <c r="E355" s="9" t="s">
        <v>109</v>
      </c>
      <c r="F355" s="9">
        <v>27</v>
      </c>
      <c r="G355" s="8">
        <v>45952</v>
      </c>
      <c r="H355" s="69"/>
    </row>
    <row r="356" spans="1:8" ht="15.75" thickBot="1" x14ac:dyDescent="0.25">
      <c r="A356" s="14" t="s">
        <v>6</v>
      </c>
      <c r="B356" s="7" t="s">
        <v>694</v>
      </c>
      <c r="C356" s="7" t="s">
        <v>695</v>
      </c>
      <c r="D356" s="8">
        <v>45950</v>
      </c>
      <c r="E356" s="9" t="s">
        <v>109</v>
      </c>
      <c r="F356" s="9">
        <v>0.81</v>
      </c>
      <c r="G356" s="8">
        <v>45952</v>
      </c>
      <c r="H356" s="69"/>
    </row>
    <row r="357" spans="1:8" ht="15" hidden="1" thickBot="1" x14ac:dyDescent="0.25">
      <c r="A357" s="34" t="s">
        <v>699</v>
      </c>
      <c r="B357" s="30" t="s">
        <v>772</v>
      </c>
      <c r="C357" s="30" t="s">
        <v>58</v>
      </c>
      <c r="D357" s="31">
        <v>45683</v>
      </c>
      <c r="E357" s="32" t="s">
        <v>72</v>
      </c>
      <c r="F357" s="32">
        <v>2</v>
      </c>
      <c r="G357" s="31">
        <v>45683</v>
      </c>
      <c r="H357" s="61"/>
    </row>
    <row r="358" spans="1:8" ht="15.75" hidden="1" thickBot="1" x14ac:dyDescent="0.25">
      <c r="A358" s="21" t="s">
        <v>723</v>
      </c>
      <c r="B358" s="7" t="s">
        <v>581</v>
      </c>
      <c r="C358" s="7" t="s">
        <v>582</v>
      </c>
      <c r="D358" s="8">
        <v>45683</v>
      </c>
      <c r="E358" s="9" t="s">
        <v>59</v>
      </c>
      <c r="F358" s="9">
        <v>153600</v>
      </c>
      <c r="G358" s="8">
        <v>45776</v>
      </c>
      <c r="H358" s="69"/>
    </row>
    <row r="359" spans="1:8" ht="15.75" hidden="1" thickBot="1" x14ac:dyDescent="0.25">
      <c r="A359" s="21" t="s">
        <v>723</v>
      </c>
      <c r="B359" s="7" t="s">
        <v>583</v>
      </c>
      <c r="C359" s="7" t="s">
        <v>582</v>
      </c>
      <c r="D359" s="8">
        <v>45683</v>
      </c>
      <c r="E359" s="9" t="s">
        <v>59</v>
      </c>
      <c r="F359" s="9">
        <v>18900</v>
      </c>
      <c r="G359" s="8"/>
      <c r="H359" s="69" t="s">
        <v>740</v>
      </c>
    </row>
    <row r="360" spans="1:8" ht="15.75" hidden="1" thickBot="1" x14ac:dyDescent="0.25">
      <c r="A360" s="21" t="s">
        <v>723</v>
      </c>
      <c r="B360" s="7" t="s">
        <v>584</v>
      </c>
      <c r="C360" s="7" t="s">
        <v>582</v>
      </c>
      <c r="D360" s="8">
        <v>45683</v>
      </c>
      <c r="E360" s="9" t="s">
        <v>59</v>
      </c>
      <c r="F360" s="9">
        <v>76000</v>
      </c>
      <c r="G360" s="8">
        <v>45967</v>
      </c>
      <c r="H360" s="69"/>
    </row>
    <row r="361" spans="1:8" ht="15.75" hidden="1" thickBot="1" x14ac:dyDescent="0.25">
      <c r="A361" s="21" t="s">
        <v>723</v>
      </c>
      <c r="B361" s="7" t="s">
        <v>336</v>
      </c>
      <c r="C361" s="7" t="s">
        <v>30</v>
      </c>
      <c r="D361" s="8">
        <v>45712</v>
      </c>
      <c r="E361" s="9" t="s">
        <v>72</v>
      </c>
      <c r="F361" s="9">
        <v>2380</v>
      </c>
      <c r="G361" s="8">
        <v>45757</v>
      </c>
      <c r="H361" s="69" t="s">
        <v>702</v>
      </c>
    </row>
    <row r="362" spans="1:8" ht="15.75" hidden="1" thickBot="1" x14ac:dyDescent="0.25">
      <c r="A362" s="21" t="s">
        <v>723</v>
      </c>
      <c r="B362" s="7" t="s">
        <v>585</v>
      </c>
      <c r="C362" s="7" t="s">
        <v>586</v>
      </c>
      <c r="D362" s="8">
        <v>45769</v>
      </c>
      <c r="E362" s="9" t="s">
        <v>72</v>
      </c>
      <c r="F362" s="9">
        <v>90000</v>
      </c>
      <c r="G362" s="8">
        <v>45823</v>
      </c>
      <c r="H362" s="69" t="s">
        <v>703</v>
      </c>
    </row>
    <row r="363" spans="1:8" ht="15.75" hidden="1" thickBot="1" x14ac:dyDescent="0.25">
      <c r="A363" s="21" t="s">
        <v>723</v>
      </c>
      <c r="B363" s="7" t="s">
        <v>653</v>
      </c>
      <c r="C363" s="7" t="s">
        <v>586</v>
      </c>
      <c r="D363" s="8">
        <v>45837</v>
      </c>
      <c r="E363" s="9" t="s">
        <v>59</v>
      </c>
      <c r="F363" s="9">
        <v>2060</v>
      </c>
      <c r="G363" s="8">
        <v>45900</v>
      </c>
      <c r="H363" s="69" t="s">
        <v>704</v>
      </c>
    </row>
    <row r="364" spans="1:8" ht="15.75" hidden="1" thickBot="1" x14ac:dyDescent="0.25">
      <c r="A364" s="21" t="s">
        <v>723</v>
      </c>
      <c r="B364" s="7" t="s">
        <v>654</v>
      </c>
      <c r="C364" s="7" t="s">
        <v>586</v>
      </c>
      <c r="D364" s="8">
        <v>45837</v>
      </c>
      <c r="E364" s="9" t="s">
        <v>59</v>
      </c>
      <c r="F364" s="9">
        <v>78000</v>
      </c>
      <c r="G364" s="8">
        <v>45900</v>
      </c>
      <c r="H364" s="69" t="s">
        <v>704</v>
      </c>
    </row>
    <row r="365" spans="1:8" ht="15.75" hidden="1" thickBot="1" x14ac:dyDescent="0.25">
      <c r="A365" s="32" t="s">
        <v>699</v>
      </c>
      <c r="B365" s="7" t="s">
        <v>587</v>
      </c>
      <c r="C365" s="7" t="s">
        <v>588</v>
      </c>
      <c r="D365" s="8">
        <v>45310</v>
      </c>
      <c r="E365" s="9" t="s">
        <v>72</v>
      </c>
      <c r="F365" s="9">
        <v>0.1</v>
      </c>
      <c r="G365" s="8">
        <v>45683</v>
      </c>
      <c r="H365" s="69" t="s">
        <v>704</v>
      </c>
    </row>
    <row r="366" spans="1:8" ht="15.75" hidden="1" thickBot="1" x14ac:dyDescent="0.25">
      <c r="A366" s="32" t="s">
        <v>699</v>
      </c>
      <c r="B366" s="7" t="s">
        <v>589</v>
      </c>
      <c r="C366" s="7" t="s">
        <v>58</v>
      </c>
      <c r="D366" s="8">
        <v>45310</v>
      </c>
      <c r="E366" s="9" t="s">
        <v>72</v>
      </c>
      <c r="F366" s="9">
        <v>0.5</v>
      </c>
      <c r="G366" s="8">
        <v>45683</v>
      </c>
      <c r="H366" s="69" t="s">
        <v>704</v>
      </c>
    </row>
    <row r="367" spans="1:8" ht="15.75" hidden="1" thickBot="1" x14ac:dyDescent="0.25">
      <c r="A367" s="32" t="s">
        <v>699</v>
      </c>
      <c r="B367" s="7" t="s">
        <v>590</v>
      </c>
      <c r="C367" s="7" t="s">
        <v>591</v>
      </c>
      <c r="D367" s="8">
        <v>45683</v>
      </c>
      <c r="E367" s="9" t="s">
        <v>59</v>
      </c>
      <c r="F367" s="9">
        <v>20838</v>
      </c>
      <c r="G367" s="8">
        <v>45776</v>
      </c>
      <c r="H367" s="69" t="s">
        <v>704</v>
      </c>
    </row>
    <row r="368" spans="1:8" ht="15.75" hidden="1" thickBot="1" x14ac:dyDescent="0.25">
      <c r="A368" s="32" t="s">
        <v>699</v>
      </c>
      <c r="B368" s="7" t="s">
        <v>590</v>
      </c>
      <c r="C368" s="7" t="s">
        <v>592</v>
      </c>
      <c r="D368" s="8">
        <v>45802</v>
      </c>
      <c r="E368" s="9" t="s">
        <v>330</v>
      </c>
      <c r="F368" s="9">
        <v>79</v>
      </c>
      <c r="G368" s="8">
        <v>45806</v>
      </c>
      <c r="H368" s="69" t="s">
        <v>704</v>
      </c>
    </row>
    <row r="369" spans="1:8" ht="15.75" hidden="1" thickBot="1" x14ac:dyDescent="0.25">
      <c r="A369" s="32" t="s">
        <v>699</v>
      </c>
      <c r="B369" s="7" t="s">
        <v>497</v>
      </c>
      <c r="C369" s="7" t="s">
        <v>593</v>
      </c>
      <c r="D369" s="8">
        <v>45804</v>
      </c>
      <c r="E369" s="9" t="s">
        <v>401</v>
      </c>
      <c r="F369" s="9">
        <v>1.79</v>
      </c>
      <c r="G369" s="8">
        <v>45805</v>
      </c>
      <c r="H369" s="69" t="s">
        <v>704</v>
      </c>
    </row>
    <row r="370" spans="1:8" ht="15.75" hidden="1" thickBot="1" x14ac:dyDescent="0.25">
      <c r="A370" s="32" t="s">
        <v>699</v>
      </c>
      <c r="B370" s="7" t="s">
        <v>660</v>
      </c>
      <c r="C370" s="7" t="s">
        <v>661</v>
      </c>
      <c r="D370" s="8">
        <v>45881</v>
      </c>
      <c r="E370" s="9" t="s">
        <v>59</v>
      </c>
      <c r="F370" s="9">
        <v>627</v>
      </c>
      <c r="G370" s="8">
        <v>45887</v>
      </c>
      <c r="H370" s="69" t="s">
        <v>704</v>
      </c>
    </row>
    <row r="371" spans="1:8" ht="15.75" hidden="1" thickBot="1" x14ac:dyDescent="0.25">
      <c r="A371" s="21" t="s">
        <v>700</v>
      </c>
      <c r="B371" s="7" t="s">
        <v>594</v>
      </c>
      <c r="C371" s="7" t="s">
        <v>54</v>
      </c>
      <c r="D371" s="8">
        <v>45659</v>
      </c>
      <c r="E371" s="9" t="s">
        <v>109</v>
      </c>
      <c r="F371" s="56">
        <v>0.17</v>
      </c>
      <c r="G371" s="8">
        <v>45659</v>
      </c>
      <c r="H371" s="69" t="s">
        <v>704</v>
      </c>
    </row>
    <row r="372" spans="1:8" ht="15.75" hidden="1" thickBot="1" x14ac:dyDescent="0.25">
      <c r="A372" s="21" t="s">
        <v>700</v>
      </c>
      <c r="B372" s="7" t="s">
        <v>595</v>
      </c>
      <c r="C372" s="7" t="s">
        <v>582</v>
      </c>
      <c r="D372" s="8">
        <v>45683</v>
      </c>
      <c r="E372" s="9" t="s">
        <v>59</v>
      </c>
      <c r="F372" s="9">
        <v>56800</v>
      </c>
      <c r="G372" s="8"/>
      <c r="H372" s="69" t="s">
        <v>705</v>
      </c>
    </row>
    <row r="373" spans="1:8" ht="15.75" hidden="1" thickBot="1" x14ac:dyDescent="0.25">
      <c r="A373" s="21" t="s">
        <v>700</v>
      </c>
      <c r="B373" s="7" t="s">
        <v>596</v>
      </c>
      <c r="C373" s="7" t="s">
        <v>597</v>
      </c>
      <c r="D373" s="8">
        <v>45693</v>
      </c>
      <c r="E373" s="9" t="s">
        <v>72</v>
      </c>
      <c r="F373" s="9">
        <v>0.4</v>
      </c>
      <c r="G373" s="8">
        <v>45693</v>
      </c>
      <c r="H373" s="69" t="s">
        <v>704</v>
      </c>
    </row>
    <row r="374" spans="1:8" ht="15.75" hidden="1" thickBot="1" x14ac:dyDescent="0.25">
      <c r="A374" s="21" t="s">
        <v>700</v>
      </c>
      <c r="B374" s="7" t="s">
        <v>598</v>
      </c>
      <c r="C374" s="7" t="s">
        <v>599</v>
      </c>
      <c r="D374" s="8">
        <v>45795</v>
      </c>
      <c r="E374" s="9" t="s">
        <v>59</v>
      </c>
      <c r="F374" s="9" t="s">
        <v>600</v>
      </c>
      <c r="G374" s="8">
        <v>45796</v>
      </c>
      <c r="H374" s="69" t="s">
        <v>704</v>
      </c>
    </row>
    <row r="375" spans="1:8" ht="15" hidden="1" thickBot="1" x14ac:dyDescent="0.25">
      <c r="A375" s="104" t="s">
        <v>11</v>
      </c>
      <c r="B375" s="30" t="s">
        <v>771</v>
      </c>
      <c r="C375" s="30" t="s">
        <v>58</v>
      </c>
      <c r="D375" s="31">
        <v>45770</v>
      </c>
      <c r="E375" s="32" t="s">
        <v>72</v>
      </c>
      <c r="F375" s="32">
        <v>2</v>
      </c>
      <c r="G375" s="31">
        <v>45770</v>
      </c>
      <c r="H375" s="61"/>
    </row>
    <row r="376" spans="1:8" ht="15.75" hidden="1" thickBot="1" x14ac:dyDescent="0.25">
      <c r="A376" s="21" t="s">
        <v>700</v>
      </c>
      <c r="B376" s="7" t="s">
        <v>662</v>
      </c>
      <c r="C376" s="90" t="s">
        <v>485</v>
      </c>
      <c r="D376" s="8">
        <v>45879</v>
      </c>
      <c r="E376" s="9" t="s">
        <v>59</v>
      </c>
      <c r="F376" s="9">
        <v>120</v>
      </c>
      <c r="G376" s="8">
        <v>45888</v>
      </c>
      <c r="H376" s="91" t="s">
        <v>704</v>
      </c>
    </row>
    <row r="377" spans="1:8" ht="15.75" hidden="1" thickBot="1" x14ac:dyDescent="0.25">
      <c r="A377" s="21" t="s">
        <v>700</v>
      </c>
      <c r="B377" s="7" t="s">
        <v>673</v>
      </c>
      <c r="C377" s="90" t="s">
        <v>485</v>
      </c>
      <c r="D377" s="8">
        <v>45910</v>
      </c>
      <c r="E377" s="9" t="s">
        <v>72</v>
      </c>
      <c r="F377" s="9" t="s">
        <v>221</v>
      </c>
      <c r="G377" s="8">
        <v>45910</v>
      </c>
      <c r="H377" s="91" t="s">
        <v>737</v>
      </c>
    </row>
    <row r="378" spans="1:8" ht="15.75" hidden="1" thickBot="1" x14ac:dyDescent="0.25">
      <c r="A378" s="32" t="s">
        <v>701</v>
      </c>
      <c r="B378" s="7" t="s">
        <v>123</v>
      </c>
      <c r="C378" s="7" t="s">
        <v>591</v>
      </c>
      <c r="D378" s="8">
        <v>45683</v>
      </c>
      <c r="E378" s="9" t="s">
        <v>59</v>
      </c>
      <c r="F378" s="9">
        <v>53000</v>
      </c>
      <c r="G378" s="8">
        <v>45952</v>
      </c>
      <c r="H378" s="69" t="s">
        <v>706</v>
      </c>
    </row>
    <row r="379" spans="1:8" ht="15.75" hidden="1" thickBot="1" x14ac:dyDescent="0.25">
      <c r="A379" s="32" t="s">
        <v>701</v>
      </c>
      <c r="B379" s="7" t="s">
        <v>659</v>
      </c>
      <c r="C379" s="7" t="s">
        <v>582</v>
      </c>
      <c r="D379" s="8">
        <v>45868</v>
      </c>
      <c r="E379" s="9" t="s">
        <v>67</v>
      </c>
      <c r="F379" s="9">
        <v>22</v>
      </c>
      <c r="G379" s="8">
        <v>45873</v>
      </c>
      <c r="H379" s="69" t="s">
        <v>707</v>
      </c>
    </row>
    <row r="380" spans="1:8" ht="15.75" hidden="1" thickBot="1" x14ac:dyDescent="0.25">
      <c r="A380" s="32" t="s">
        <v>701</v>
      </c>
      <c r="B380" s="7" t="s">
        <v>656</v>
      </c>
      <c r="C380" s="7" t="s">
        <v>657</v>
      </c>
      <c r="D380" s="8">
        <v>45868</v>
      </c>
      <c r="E380" s="9" t="s">
        <v>67</v>
      </c>
      <c r="F380" s="9">
        <v>12</v>
      </c>
      <c r="G380" s="8">
        <v>45873</v>
      </c>
      <c r="H380" s="69" t="s">
        <v>707</v>
      </c>
    </row>
    <row r="381" spans="1:8" ht="15.75" hidden="1" thickBot="1" x14ac:dyDescent="0.25">
      <c r="A381" s="21" t="s">
        <v>11</v>
      </c>
      <c r="B381" s="7" t="s">
        <v>348</v>
      </c>
      <c r="C381" s="7" t="s">
        <v>266</v>
      </c>
      <c r="D381" s="8">
        <v>45729</v>
      </c>
      <c r="E381" s="9" t="s">
        <v>72</v>
      </c>
      <c r="F381" s="9">
        <v>26</v>
      </c>
      <c r="G381" s="8">
        <v>45732</v>
      </c>
      <c r="H381" s="69" t="s">
        <v>704</v>
      </c>
    </row>
    <row r="382" spans="1:8" ht="15.75" hidden="1" thickBot="1" x14ac:dyDescent="0.25">
      <c r="A382" s="21" t="s">
        <v>11</v>
      </c>
      <c r="B382" s="7" t="s">
        <v>601</v>
      </c>
      <c r="C382" s="7" t="s">
        <v>266</v>
      </c>
      <c r="D382" s="8">
        <v>45729</v>
      </c>
      <c r="E382" s="9" t="s">
        <v>72</v>
      </c>
      <c r="F382" s="9">
        <v>72</v>
      </c>
      <c r="G382" s="8">
        <v>45732</v>
      </c>
      <c r="H382" s="69" t="s">
        <v>704</v>
      </c>
    </row>
    <row r="383" spans="1:8" ht="15.75" hidden="1" thickBot="1" x14ac:dyDescent="0.25">
      <c r="A383" s="21" t="s">
        <v>11</v>
      </c>
      <c r="B383" s="7" t="s">
        <v>602</v>
      </c>
      <c r="C383" s="7" t="s">
        <v>266</v>
      </c>
      <c r="D383" s="8">
        <v>45743</v>
      </c>
      <c r="E383" s="9" t="s">
        <v>59</v>
      </c>
      <c r="F383" s="9">
        <v>25.2</v>
      </c>
      <c r="G383" s="8">
        <v>45776</v>
      </c>
      <c r="H383" s="69" t="s">
        <v>704</v>
      </c>
    </row>
    <row r="384" spans="1:8" ht="30.75" hidden="1" thickBot="1" x14ac:dyDescent="0.25">
      <c r="A384" s="21" t="s">
        <v>11</v>
      </c>
      <c r="B384" s="7" t="s">
        <v>645</v>
      </c>
      <c r="C384" s="7" t="s">
        <v>638</v>
      </c>
      <c r="D384" s="8">
        <v>45833</v>
      </c>
      <c r="E384" s="9" t="s">
        <v>59</v>
      </c>
      <c r="F384" s="9">
        <v>387</v>
      </c>
      <c r="G384" s="8">
        <v>45834</v>
      </c>
      <c r="H384" s="69" t="s">
        <v>704</v>
      </c>
    </row>
    <row r="385" spans="1:8" ht="15.75" hidden="1" thickBot="1" x14ac:dyDescent="0.25">
      <c r="A385" s="21" t="s">
        <v>11</v>
      </c>
      <c r="B385" s="7" t="s">
        <v>644</v>
      </c>
      <c r="C385" s="7" t="s">
        <v>227</v>
      </c>
      <c r="D385" s="8">
        <v>45838</v>
      </c>
      <c r="E385" s="9" t="s">
        <v>59</v>
      </c>
      <c r="F385" s="9">
        <v>1</v>
      </c>
      <c r="G385" s="8">
        <v>45839</v>
      </c>
      <c r="H385" s="69" t="s">
        <v>704</v>
      </c>
    </row>
    <row r="386" spans="1:8" ht="15.75" hidden="1" thickBot="1" x14ac:dyDescent="0.25">
      <c r="A386" s="21" t="s">
        <v>11</v>
      </c>
      <c r="B386" s="7" t="s">
        <v>648</v>
      </c>
      <c r="C386" s="7" t="s">
        <v>649</v>
      </c>
      <c r="D386" s="8">
        <v>45840</v>
      </c>
      <c r="E386" s="9" t="s">
        <v>59</v>
      </c>
      <c r="F386" s="9">
        <v>142.30000000000001</v>
      </c>
      <c r="G386" s="8">
        <v>45845</v>
      </c>
      <c r="H386" s="69" t="s">
        <v>704</v>
      </c>
    </row>
    <row r="387" spans="1:8" ht="15.75" hidden="1" thickBot="1" x14ac:dyDescent="0.25">
      <c r="A387" s="21" t="s">
        <v>11</v>
      </c>
      <c r="B387" s="7" t="s">
        <v>672</v>
      </c>
      <c r="C387" s="7" t="s">
        <v>162</v>
      </c>
      <c r="D387" s="8">
        <v>45909</v>
      </c>
      <c r="E387" s="9" t="s">
        <v>59</v>
      </c>
      <c r="F387" s="9">
        <v>0.8</v>
      </c>
      <c r="G387" s="8">
        <v>45914</v>
      </c>
      <c r="H387" s="69" t="s">
        <v>704</v>
      </c>
    </row>
    <row r="388" spans="1:8" ht="15.75" hidden="1" thickBot="1" x14ac:dyDescent="0.25">
      <c r="A388" s="21" t="s">
        <v>11</v>
      </c>
      <c r="B388" s="7" t="s">
        <v>676</v>
      </c>
      <c r="C388" s="7" t="s">
        <v>36</v>
      </c>
      <c r="D388" s="8">
        <v>45917</v>
      </c>
      <c r="E388" s="9" t="s">
        <v>59</v>
      </c>
      <c r="F388" s="9">
        <v>7</v>
      </c>
      <c r="G388" s="8">
        <v>45929</v>
      </c>
      <c r="H388" s="69" t="s">
        <v>704</v>
      </c>
    </row>
    <row r="389" spans="1:8" ht="15.75" hidden="1" thickBot="1" x14ac:dyDescent="0.25">
      <c r="A389" s="50" t="s">
        <v>67</v>
      </c>
      <c r="B389" s="52" t="s">
        <v>603</v>
      </c>
      <c r="C389" s="53" t="s">
        <v>604</v>
      </c>
      <c r="D389" s="54">
        <v>45667</v>
      </c>
      <c r="E389" s="55" t="s">
        <v>59</v>
      </c>
      <c r="F389" s="57" t="s">
        <v>380</v>
      </c>
      <c r="G389" s="54">
        <v>45672</v>
      </c>
      <c r="H389" s="70" t="s">
        <v>708</v>
      </c>
    </row>
    <row r="390" spans="1:8" ht="15.75" hidden="1" thickBot="1" x14ac:dyDescent="0.25">
      <c r="A390" s="50" t="s">
        <v>67</v>
      </c>
      <c r="B390" s="52" t="s">
        <v>605</v>
      </c>
      <c r="C390" s="53" t="s">
        <v>455</v>
      </c>
      <c r="D390" s="54">
        <v>45665</v>
      </c>
      <c r="E390" s="55" t="s">
        <v>59</v>
      </c>
      <c r="F390" s="57" t="s">
        <v>380</v>
      </c>
      <c r="G390" s="54">
        <v>45677</v>
      </c>
      <c r="H390" s="70" t="s">
        <v>708</v>
      </c>
    </row>
    <row r="391" spans="1:8" ht="15.75" hidden="1" thickBot="1" x14ac:dyDescent="0.25">
      <c r="A391" s="50" t="s">
        <v>67</v>
      </c>
      <c r="B391" s="52" t="s">
        <v>606</v>
      </c>
      <c r="C391" s="53" t="s">
        <v>455</v>
      </c>
      <c r="D391" s="54">
        <v>45665</v>
      </c>
      <c r="E391" s="55" t="s">
        <v>59</v>
      </c>
      <c r="F391" s="57" t="s">
        <v>380</v>
      </c>
      <c r="G391" s="54">
        <v>45708</v>
      </c>
      <c r="H391" s="70" t="s">
        <v>709</v>
      </c>
    </row>
    <row r="392" spans="1:8" ht="15.75" hidden="1" thickBot="1" x14ac:dyDescent="0.25">
      <c r="A392" s="50" t="s">
        <v>67</v>
      </c>
      <c r="B392" s="7" t="s">
        <v>607</v>
      </c>
      <c r="C392" s="7" t="s">
        <v>608</v>
      </c>
      <c r="D392" s="8">
        <v>45672</v>
      </c>
      <c r="E392" s="9" t="s">
        <v>59</v>
      </c>
      <c r="F392" s="9" t="s">
        <v>380</v>
      </c>
      <c r="G392" s="8">
        <v>45677</v>
      </c>
      <c r="H392" s="69" t="s">
        <v>709</v>
      </c>
    </row>
    <row r="393" spans="1:8" ht="15.75" hidden="1" thickBot="1" x14ac:dyDescent="0.25">
      <c r="A393" s="50" t="s">
        <v>67</v>
      </c>
      <c r="B393" s="7" t="s">
        <v>609</v>
      </c>
      <c r="C393" s="7" t="s">
        <v>608</v>
      </c>
      <c r="D393" s="8">
        <v>45677</v>
      </c>
      <c r="E393" s="9" t="s">
        <v>72</v>
      </c>
      <c r="F393" s="9" t="s">
        <v>380</v>
      </c>
      <c r="G393" s="8">
        <v>45677</v>
      </c>
      <c r="H393" s="69" t="s">
        <v>709</v>
      </c>
    </row>
    <row r="394" spans="1:8" ht="15.75" hidden="1" thickBot="1" x14ac:dyDescent="0.25">
      <c r="A394" s="50" t="s">
        <v>67</v>
      </c>
      <c r="B394" s="7" t="s">
        <v>610</v>
      </c>
      <c r="C394" s="7" t="s">
        <v>608</v>
      </c>
      <c r="D394" s="8">
        <v>45677</v>
      </c>
      <c r="E394" s="9" t="s">
        <v>72</v>
      </c>
      <c r="F394" s="9" t="s">
        <v>380</v>
      </c>
      <c r="G394" s="8">
        <v>45414</v>
      </c>
      <c r="H394" s="69" t="s">
        <v>709</v>
      </c>
    </row>
    <row r="395" spans="1:8" ht="15.75" hidden="1" thickBot="1" x14ac:dyDescent="0.25">
      <c r="A395" s="50" t="s">
        <v>67</v>
      </c>
      <c r="B395" s="7" t="s">
        <v>611</v>
      </c>
      <c r="C395" s="7" t="s">
        <v>612</v>
      </c>
      <c r="D395" s="8">
        <v>45677</v>
      </c>
      <c r="E395" s="9" t="s">
        <v>72</v>
      </c>
      <c r="F395" s="9" t="s">
        <v>380</v>
      </c>
      <c r="G395" s="8">
        <v>45679</v>
      </c>
      <c r="H395" s="69" t="s">
        <v>709</v>
      </c>
    </row>
    <row r="396" spans="1:8" ht="15.75" hidden="1" thickBot="1" x14ac:dyDescent="0.25">
      <c r="A396" s="50" t="s">
        <v>67</v>
      </c>
      <c r="B396" s="7" t="s">
        <v>613</v>
      </c>
      <c r="C396" s="7" t="s">
        <v>608</v>
      </c>
      <c r="D396" s="8">
        <v>45677</v>
      </c>
      <c r="E396" s="9" t="s">
        <v>72</v>
      </c>
      <c r="F396" s="9" t="s">
        <v>380</v>
      </c>
      <c r="G396" s="8">
        <v>45679</v>
      </c>
      <c r="H396" s="69" t="s">
        <v>709</v>
      </c>
    </row>
    <row r="397" spans="1:8" ht="15.75" hidden="1" thickBot="1" x14ac:dyDescent="0.25">
      <c r="A397" s="50" t="s">
        <v>67</v>
      </c>
      <c r="B397" s="7" t="s">
        <v>614</v>
      </c>
      <c r="C397" s="7" t="s">
        <v>608</v>
      </c>
      <c r="D397" s="8">
        <v>45677</v>
      </c>
      <c r="E397" s="9" t="s">
        <v>72</v>
      </c>
      <c r="F397" s="9" t="s">
        <v>380</v>
      </c>
      <c r="G397" s="8">
        <v>45679</v>
      </c>
      <c r="H397" s="69" t="s">
        <v>709</v>
      </c>
    </row>
    <row r="398" spans="1:8" ht="15.75" hidden="1" thickBot="1" x14ac:dyDescent="0.25">
      <c r="A398" s="50" t="s">
        <v>67</v>
      </c>
      <c r="B398" s="7" t="s">
        <v>552</v>
      </c>
      <c r="C398" s="7" t="s">
        <v>328</v>
      </c>
      <c r="D398" s="8">
        <v>45677</v>
      </c>
      <c r="E398" s="9" t="s">
        <v>59</v>
      </c>
      <c r="F398" s="9" t="s">
        <v>615</v>
      </c>
      <c r="G398" s="8">
        <v>45711</v>
      </c>
      <c r="H398" s="69" t="s">
        <v>709</v>
      </c>
    </row>
    <row r="399" spans="1:8" ht="15.75" hidden="1" thickBot="1" x14ac:dyDescent="0.25">
      <c r="A399" s="50" t="s">
        <v>67</v>
      </c>
      <c r="B399" s="7" t="s">
        <v>563</v>
      </c>
      <c r="C399" s="7" t="s">
        <v>616</v>
      </c>
      <c r="D399" s="8">
        <v>45718</v>
      </c>
      <c r="E399" s="9" t="s">
        <v>72</v>
      </c>
      <c r="F399" s="9">
        <v>14.4</v>
      </c>
      <c r="G399" s="8">
        <v>45718</v>
      </c>
      <c r="H399" s="69" t="s">
        <v>709</v>
      </c>
    </row>
    <row r="400" spans="1:8" ht="15.75" hidden="1" thickBot="1" x14ac:dyDescent="0.25">
      <c r="A400" s="50" t="s">
        <v>67</v>
      </c>
      <c r="B400" s="7" t="s">
        <v>617</v>
      </c>
      <c r="C400" s="7" t="s">
        <v>608</v>
      </c>
      <c r="D400" s="8">
        <v>45718</v>
      </c>
      <c r="E400" s="8" t="s">
        <v>59</v>
      </c>
      <c r="F400" s="9" t="s">
        <v>221</v>
      </c>
      <c r="G400" s="8">
        <v>45720</v>
      </c>
      <c r="H400" s="69" t="s">
        <v>709</v>
      </c>
    </row>
    <row r="401" spans="1:8" ht="15.75" hidden="1" thickBot="1" x14ac:dyDescent="0.25">
      <c r="A401" s="50" t="s">
        <v>67</v>
      </c>
      <c r="B401" s="7" t="s">
        <v>618</v>
      </c>
      <c r="C401" s="7" t="s">
        <v>608</v>
      </c>
      <c r="D401" s="8">
        <v>45718</v>
      </c>
      <c r="E401" s="9" t="s">
        <v>59</v>
      </c>
      <c r="F401" s="9" t="s">
        <v>221</v>
      </c>
      <c r="G401" s="8">
        <v>45720</v>
      </c>
      <c r="H401" s="69" t="s">
        <v>709</v>
      </c>
    </row>
    <row r="402" spans="1:8" ht="15.75" hidden="1" thickBot="1" x14ac:dyDescent="0.25">
      <c r="A402" s="50" t="s">
        <v>67</v>
      </c>
      <c r="B402" s="7" t="s">
        <v>619</v>
      </c>
      <c r="C402" s="7" t="s">
        <v>608</v>
      </c>
      <c r="D402" s="8">
        <v>45721</v>
      </c>
      <c r="E402" s="9" t="s">
        <v>72</v>
      </c>
      <c r="F402" s="9" t="s">
        <v>221</v>
      </c>
      <c r="G402" s="8">
        <v>45726</v>
      </c>
      <c r="H402" s="69" t="s">
        <v>709</v>
      </c>
    </row>
    <row r="403" spans="1:8" ht="15.75" hidden="1" thickBot="1" x14ac:dyDescent="0.25">
      <c r="A403" s="50" t="s">
        <v>67</v>
      </c>
      <c r="B403" s="7" t="s">
        <v>620</v>
      </c>
      <c r="C403" s="7" t="s">
        <v>608</v>
      </c>
      <c r="D403" s="8">
        <v>45721</v>
      </c>
      <c r="E403" s="9" t="s">
        <v>59</v>
      </c>
      <c r="F403" s="9">
        <v>2.4</v>
      </c>
      <c r="G403" s="8">
        <v>45722</v>
      </c>
      <c r="H403" s="69" t="s">
        <v>709</v>
      </c>
    </row>
    <row r="404" spans="1:8" ht="15.75" hidden="1" thickBot="1" x14ac:dyDescent="0.25">
      <c r="A404" s="50" t="s">
        <v>67</v>
      </c>
      <c r="B404" s="7" t="s">
        <v>621</v>
      </c>
      <c r="C404" s="7" t="s">
        <v>608</v>
      </c>
      <c r="D404" s="8">
        <v>45726</v>
      </c>
      <c r="E404" s="9" t="s">
        <v>59</v>
      </c>
      <c r="F404" s="9">
        <v>22.3</v>
      </c>
      <c r="G404" s="8">
        <v>45729</v>
      </c>
      <c r="H404" s="69" t="s">
        <v>707</v>
      </c>
    </row>
    <row r="405" spans="1:8" ht="15.75" hidden="1" thickBot="1" x14ac:dyDescent="0.25">
      <c r="A405" s="50" t="s">
        <v>67</v>
      </c>
      <c r="B405" s="7" t="s">
        <v>622</v>
      </c>
      <c r="C405" s="7" t="s">
        <v>266</v>
      </c>
      <c r="D405" s="8">
        <v>45740</v>
      </c>
      <c r="E405" s="9" t="s">
        <v>59</v>
      </c>
      <c r="F405" s="9">
        <v>114</v>
      </c>
      <c r="G405" s="8">
        <v>45743</v>
      </c>
      <c r="H405" s="69" t="s">
        <v>707</v>
      </c>
    </row>
    <row r="406" spans="1:8" ht="15.75" hidden="1" thickBot="1" x14ac:dyDescent="0.25">
      <c r="A406" s="50" t="s">
        <v>67</v>
      </c>
      <c r="B406" s="7" t="s">
        <v>623</v>
      </c>
      <c r="C406" s="7" t="s">
        <v>624</v>
      </c>
      <c r="D406" s="8">
        <v>45757</v>
      </c>
      <c r="E406" s="9" t="s">
        <v>72</v>
      </c>
      <c r="F406" s="9">
        <v>1.25</v>
      </c>
      <c r="G406" s="8">
        <v>45761</v>
      </c>
      <c r="H406" s="69" t="s">
        <v>707</v>
      </c>
    </row>
    <row r="407" spans="1:8" ht="15.75" hidden="1" thickBot="1" x14ac:dyDescent="0.25">
      <c r="A407" s="50" t="s">
        <v>67</v>
      </c>
      <c r="B407" s="7" t="s">
        <v>625</v>
      </c>
      <c r="C407" s="7" t="s">
        <v>503</v>
      </c>
      <c r="D407" s="8">
        <v>45757</v>
      </c>
      <c r="E407" s="9" t="s">
        <v>59</v>
      </c>
      <c r="F407" s="9">
        <v>4.5999999999999996</v>
      </c>
      <c r="G407" s="8">
        <v>45764</v>
      </c>
      <c r="H407" s="69" t="s">
        <v>707</v>
      </c>
    </row>
    <row r="408" spans="1:8" ht="15.75" hidden="1" thickBot="1" x14ac:dyDescent="0.25">
      <c r="A408" s="50" t="s">
        <v>67</v>
      </c>
      <c r="B408" s="7" t="s">
        <v>563</v>
      </c>
      <c r="C408" s="7" t="s">
        <v>160</v>
      </c>
      <c r="D408" s="8">
        <v>45769</v>
      </c>
      <c r="E408" s="9" t="s">
        <v>59</v>
      </c>
      <c r="F408" s="9" t="s">
        <v>513</v>
      </c>
      <c r="G408" s="8">
        <v>45774</v>
      </c>
      <c r="H408" s="69" t="s">
        <v>707</v>
      </c>
    </row>
    <row r="409" spans="1:8" ht="15.75" hidden="1" thickBot="1" x14ac:dyDescent="0.25">
      <c r="A409" s="50" t="s">
        <v>67</v>
      </c>
      <c r="B409" s="7" t="s">
        <v>626</v>
      </c>
      <c r="C409" s="7" t="s">
        <v>627</v>
      </c>
      <c r="D409" s="8">
        <v>45774</v>
      </c>
      <c r="E409" s="9" t="s">
        <v>59</v>
      </c>
      <c r="F409" s="9">
        <v>6</v>
      </c>
      <c r="G409" s="8">
        <v>45775</v>
      </c>
      <c r="H409" s="69" t="s">
        <v>707</v>
      </c>
    </row>
    <row r="410" spans="1:8" ht="15.75" hidden="1" thickBot="1" x14ac:dyDescent="0.25">
      <c r="A410" s="50" t="s">
        <v>67</v>
      </c>
      <c r="B410" s="7" t="s">
        <v>628</v>
      </c>
      <c r="C410" s="7" t="s">
        <v>627</v>
      </c>
      <c r="D410" s="8">
        <v>45782</v>
      </c>
      <c r="E410" s="9" t="s">
        <v>72</v>
      </c>
      <c r="F410" s="9" t="s">
        <v>513</v>
      </c>
      <c r="G410" s="8"/>
      <c r="H410" s="69" t="s">
        <v>781</v>
      </c>
    </row>
    <row r="411" spans="1:8" ht="15.75" hidden="1" thickBot="1" x14ac:dyDescent="0.25">
      <c r="A411" s="50" t="s">
        <v>67</v>
      </c>
      <c r="B411" s="7" t="s">
        <v>629</v>
      </c>
      <c r="C411" s="7" t="s">
        <v>630</v>
      </c>
      <c r="D411" s="8">
        <v>45785</v>
      </c>
      <c r="E411" s="9" t="s">
        <v>59</v>
      </c>
      <c r="F411" s="9">
        <v>120</v>
      </c>
      <c r="G411" s="8">
        <v>45789</v>
      </c>
      <c r="H411" s="69" t="s">
        <v>707</v>
      </c>
    </row>
    <row r="412" spans="1:8" ht="15.75" hidden="1" thickBot="1" x14ac:dyDescent="0.25">
      <c r="A412" s="50" t="s">
        <v>67</v>
      </c>
      <c r="B412" s="7" t="s">
        <v>631</v>
      </c>
      <c r="C412" s="7" t="s">
        <v>591</v>
      </c>
      <c r="D412" s="8">
        <v>45788</v>
      </c>
      <c r="E412" s="9" t="s">
        <v>59</v>
      </c>
      <c r="F412" s="9">
        <v>2.12</v>
      </c>
      <c r="G412" s="8">
        <v>45789</v>
      </c>
      <c r="H412" s="69" t="s">
        <v>707</v>
      </c>
    </row>
    <row r="413" spans="1:8" ht="15.75" hidden="1" thickBot="1" x14ac:dyDescent="0.25">
      <c r="A413" s="50" t="s">
        <v>67</v>
      </c>
      <c r="B413" s="7" t="s">
        <v>632</v>
      </c>
      <c r="C413" s="7" t="s">
        <v>633</v>
      </c>
      <c r="D413" s="8">
        <v>45788</v>
      </c>
      <c r="E413" s="9" t="s">
        <v>59</v>
      </c>
      <c r="F413" s="9">
        <v>358</v>
      </c>
      <c r="G413" s="8">
        <v>45789</v>
      </c>
      <c r="H413" s="69" t="s">
        <v>707</v>
      </c>
    </row>
    <row r="414" spans="1:8" ht="15.75" hidden="1" thickBot="1" x14ac:dyDescent="0.25">
      <c r="A414" s="50" t="s">
        <v>67</v>
      </c>
      <c r="B414" s="7" t="s">
        <v>636</v>
      </c>
      <c r="C414" s="7" t="s">
        <v>637</v>
      </c>
      <c r="D414" s="8">
        <v>45805</v>
      </c>
      <c r="E414" s="9" t="s">
        <v>59</v>
      </c>
      <c r="F414" s="9">
        <v>11</v>
      </c>
      <c r="G414" s="8">
        <v>45821</v>
      </c>
      <c r="H414" s="69" t="s">
        <v>707</v>
      </c>
    </row>
    <row r="415" spans="1:8" ht="15.75" hidden="1" thickBot="1" x14ac:dyDescent="0.25">
      <c r="A415" s="50" t="s">
        <v>67</v>
      </c>
      <c r="B415" s="7" t="s">
        <v>176</v>
      </c>
      <c r="C415" s="7" t="s">
        <v>655</v>
      </c>
      <c r="D415" s="8">
        <v>45861</v>
      </c>
      <c r="E415" s="9" t="s">
        <v>59</v>
      </c>
      <c r="F415" s="9">
        <v>400</v>
      </c>
      <c r="G415" s="8">
        <v>45868</v>
      </c>
      <c r="H415" s="69" t="s">
        <v>707</v>
      </c>
    </row>
    <row r="416" spans="1:8" ht="15.75" hidden="1" thickBot="1" x14ac:dyDescent="0.25">
      <c r="A416" s="50" t="s">
        <v>67</v>
      </c>
      <c r="B416" s="7" t="s">
        <v>663</v>
      </c>
      <c r="C416" s="7" t="s">
        <v>664</v>
      </c>
      <c r="D416" s="8">
        <v>45890</v>
      </c>
      <c r="E416" s="9" t="s">
        <v>72</v>
      </c>
      <c r="F416" s="9">
        <v>1.48</v>
      </c>
      <c r="G416" s="8">
        <v>45893</v>
      </c>
      <c r="H416" s="69" t="s">
        <v>707</v>
      </c>
    </row>
    <row r="417" spans="1:8" ht="15.75" hidden="1" thickBot="1" x14ac:dyDescent="0.25">
      <c r="A417" s="50" t="s">
        <v>67</v>
      </c>
      <c r="B417" s="7" t="s">
        <v>679</v>
      </c>
      <c r="C417" s="7" t="s">
        <v>485</v>
      </c>
      <c r="D417" s="8">
        <v>45916</v>
      </c>
      <c r="E417" s="9" t="s">
        <v>59</v>
      </c>
      <c r="F417" s="9" t="s">
        <v>221</v>
      </c>
      <c r="G417" s="8">
        <v>45917</v>
      </c>
      <c r="H417" s="69" t="s">
        <v>708</v>
      </c>
    </row>
    <row r="418" spans="1:8" ht="15.75" hidden="1" thickBot="1" x14ac:dyDescent="0.25">
      <c r="A418" s="50" t="s">
        <v>67</v>
      </c>
      <c r="B418" s="7" t="s">
        <v>677</v>
      </c>
      <c r="C418" s="7" t="s">
        <v>678</v>
      </c>
      <c r="D418" s="8">
        <v>45917</v>
      </c>
      <c r="E418" s="9" t="s">
        <v>59</v>
      </c>
      <c r="F418" s="9">
        <v>45</v>
      </c>
      <c r="G418" s="8">
        <v>45798</v>
      </c>
      <c r="H418" s="69" t="s">
        <v>707</v>
      </c>
    </row>
    <row r="419" spans="1:8" ht="15" hidden="1" customHeight="1" thickBot="1" x14ac:dyDescent="0.25">
      <c r="A419" s="50" t="s">
        <v>67</v>
      </c>
      <c r="B419" s="7" t="s">
        <v>683</v>
      </c>
      <c r="C419" s="7" t="s">
        <v>684</v>
      </c>
      <c r="D419" s="8">
        <v>45929</v>
      </c>
      <c r="E419" s="9" t="s">
        <v>59</v>
      </c>
      <c r="F419" s="9">
        <v>120</v>
      </c>
      <c r="G419" s="8">
        <v>45935</v>
      </c>
      <c r="H419" s="69" t="s">
        <v>707</v>
      </c>
    </row>
    <row r="420" spans="1:8" ht="15.75" hidden="1" thickBot="1" x14ac:dyDescent="0.25">
      <c r="A420" s="50" t="s">
        <v>67</v>
      </c>
      <c r="B420" s="7" t="s">
        <v>685</v>
      </c>
      <c r="C420" s="7" t="s">
        <v>455</v>
      </c>
      <c r="D420" s="8">
        <v>45935</v>
      </c>
      <c r="E420" s="9" t="s">
        <v>72</v>
      </c>
      <c r="F420" s="9">
        <v>15</v>
      </c>
      <c r="G420" s="8">
        <v>45931</v>
      </c>
      <c r="H420" s="69" t="s">
        <v>707</v>
      </c>
    </row>
    <row r="421" spans="1:8" ht="15.75" hidden="1" thickBot="1" x14ac:dyDescent="0.25">
      <c r="A421" s="50" t="s">
        <v>67</v>
      </c>
      <c r="B421" s="7" t="s">
        <v>691</v>
      </c>
      <c r="C421" s="7" t="s">
        <v>697</v>
      </c>
      <c r="D421" s="8">
        <v>45950</v>
      </c>
      <c r="E421" s="9" t="s">
        <v>67</v>
      </c>
      <c r="F421" s="9">
        <v>50</v>
      </c>
      <c r="G421" s="8">
        <v>45950</v>
      </c>
      <c r="H421" s="69" t="s">
        <v>707</v>
      </c>
    </row>
    <row r="422" spans="1:8" ht="15.75" hidden="1" thickBot="1" x14ac:dyDescent="0.25">
      <c r="A422" s="50" t="s">
        <v>67</v>
      </c>
      <c r="B422" s="7" t="s">
        <v>692</v>
      </c>
      <c r="C422" s="7" t="s">
        <v>227</v>
      </c>
      <c r="D422" s="8">
        <v>45950</v>
      </c>
      <c r="E422" s="9" t="s">
        <v>67</v>
      </c>
      <c r="F422" s="9">
        <v>51.2</v>
      </c>
      <c r="G422" s="8">
        <v>45950</v>
      </c>
      <c r="H422" s="69" t="s">
        <v>707</v>
      </c>
    </row>
    <row r="423" spans="1:8" ht="15.75" hidden="1" thickBot="1" x14ac:dyDescent="0.25">
      <c r="A423" s="50" t="s">
        <v>67</v>
      </c>
      <c r="B423" s="7" t="s">
        <v>322</v>
      </c>
      <c r="C423" s="7" t="s">
        <v>485</v>
      </c>
      <c r="D423" s="8">
        <v>45956</v>
      </c>
      <c r="E423" s="9" t="s">
        <v>59</v>
      </c>
      <c r="F423" s="9"/>
      <c r="G423" s="8"/>
      <c r="H423" s="69" t="s">
        <v>710</v>
      </c>
    </row>
    <row r="424" spans="1:8" ht="15.75" hidden="1" thickBot="1" x14ac:dyDescent="0.25">
      <c r="A424" s="58" t="s">
        <v>327</v>
      </c>
      <c r="B424" s="49" t="s">
        <v>634</v>
      </c>
      <c r="C424" s="49" t="s">
        <v>635</v>
      </c>
      <c r="D424" s="12">
        <v>45818</v>
      </c>
      <c r="E424" s="11" t="s">
        <v>109</v>
      </c>
      <c r="F424" s="11">
        <v>1</v>
      </c>
      <c r="G424" s="12">
        <v>45818</v>
      </c>
      <c r="H424" s="71" t="s">
        <v>704</v>
      </c>
    </row>
    <row r="425" spans="1:8" ht="15.75" hidden="1" thickBot="1" x14ac:dyDescent="0.25">
      <c r="A425" s="21" t="s">
        <v>132</v>
      </c>
      <c r="B425" s="7" t="s">
        <v>711</v>
      </c>
      <c r="C425" s="7" t="s">
        <v>714</v>
      </c>
      <c r="D425" s="8">
        <v>45972</v>
      </c>
      <c r="E425" s="9" t="s">
        <v>59</v>
      </c>
      <c r="F425" s="9">
        <v>451</v>
      </c>
      <c r="G425" s="31">
        <v>45992</v>
      </c>
      <c r="H425" s="61"/>
    </row>
    <row r="426" spans="1:8" ht="15.75" hidden="1" thickBot="1" x14ac:dyDescent="0.25">
      <c r="A426" s="21" t="s">
        <v>132</v>
      </c>
      <c r="B426" s="7" t="s">
        <v>712</v>
      </c>
      <c r="C426" s="82" t="s">
        <v>715</v>
      </c>
      <c r="D426" s="8">
        <v>45972</v>
      </c>
      <c r="E426" s="9" t="s">
        <v>59</v>
      </c>
      <c r="F426" s="9">
        <v>22000</v>
      </c>
      <c r="G426" s="31" t="s">
        <v>742</v>
      </c>
      <c r="H426" s="61"/>
    </row>
    <row r="427" spans="1:8" ht="15.75" hidden="1" thickBot="1" x14ac:dyDescent="0.3">
      <c r="A427" s="21" t="s">
        <v>132</v>
      </c>
      <c r="B427" s="49" t="s">
        <v>713</v>
      </c>
      <c r="C427" s="83" t="s">
        <v>716</v>
      </c>
      <c r="D427" s="84">
        <v>45974</v>
      </c>
      <c r="E427" s="9" t="s">
        <v>59</v>
      </c>
      <c r="F427" s="9">
        <v>292</v>
      </c>
      <c r="G427" s="8">
        <v>45987</v>
      </c>
      <c r="H427" s="85"/>
    </row>
    <row r="428" spans="1:8" ht="15.75" thickBot="1" x14ac:dyDescent="0.3">
      <c r="A428" s="14" t="s">
        <v>6</v>
      </c>
      <c r="B428" s="7" t="s">
        <v>717</v>
      </c>
      <c r="C428" s="86" t="s">
        <v>720</v>
      </c>
      <c r="D428" s="84">
        <v>45970</v>
      </c>
      <c r="E428" s="8" t="s">
        <v>72</v>
      </c>
      <c r="F428" s="9">
        <v>355</v>
      </c>
      <c r="G428" s="8">
        <v>45972</v>
      </c>
      <c r="H428" s="61"/>
    </row>
    <row r="429" spans="1:8" ht="15.75" thickBot="1" x14ac:dyDescent="0.3">
      <c r="A429" s="14" t="s">
        <v>6</v>
      </c>
      <c r="B429" s="7" t="s">
        <v>718</v>
      </c>
      <c r="C429" s="86" t="s">
        <v>721</v>
      </c>
      <c r="D429" s="84">
        <v>45970</v>
      </c>
      <c r="E429" s="8" t="s">
        <v>109</v>
      </c>
      <c r="F429" s="9">
        <v>1.5</v>
      </c>
      <c r="G429" s="8">
        <v>45973</v>
      </c>
      <c r="H429" s="61"/>
    </row>
    <row r="430" spans="1:8" ht="15.75" thickBot="1" x14ac:dyDescent="0.3">
      <c r="A430" s="14" t="s">
        <v>6</v>
      </c>
      <c r="B430" s="49" t="s">
        <v>719</v>
      </c>
      <c r="C430" s="86" t="s">
        <v>722</v>
      </c>
      <c r="D430" s="84">
        <v>45970</v>
      </c>
      <c r="E430" s="8" t="s">
        <v>72</v>
      </c>
      <c r="F430" s="9">
        <v>355</v>
      </c>
      <c r="G430" s="8">
        <v>45973</v>
      </c>
      <c r="H430" s="60"/>
    </row>
    <row r="431" spans="1:8" ht="15.75" hidden="1" thickBot="1" x14ac:dyDescent="0.3">
      <c r="A431" s="32" t="s">
        <v>699</v>
      </c>
      <c r="B431" s="49" t="s">
        <v>724</v>
      </c>
      <c r="C431" s="49" t="s">
        <v>87</v>
      </c>
      <c r="D431" s="84">
        <v>45970</v>
      </c>
      <c r="E431" s="9" t="s">
        <v>72</v>
      </c>
      <c r="F431" s="9">
        <v>0.1</v>
      </c>
      <c r="G431" s="8">
        <v>45970</v>
      </c>
      <c r="H431" s="60"/>
    </row>
    <row r="432" spans="1:8" ht="15.75" hidden="1" thickBot="1" x14ac:dyDescent="0.3">
      <c r="A432" s="21" t="s">
        <v>11</v>
      </c>
      <c r="B432" s="7" t="s">
        <v>725</v>
      </c>
      <c r="C432" s="7" t="s">
        <v>266</v>
      </c>
      <c r="D432" s="84">
        <v>45979</v>
      </c>
      <c r="E432" s="31" t="s">
        <v>59</v>
      </c>
      <c r="F432" s="32">
        <v>700</v>
      </c>
      <c r="G432" s="31">
        <v>45986</v>
      </c>
      <c r="H432" s="61"/>
    </row>
    <row r="433" spans="1:8" ht="15.75" hidden="1" thickBot="1" x14ac:dyDescent="0.3">
      <c r="A433" s="21" t="s">
        <v>11</v>
      </c>
      <c r="B433" s="49" t="s">
        <v>726</v>
      </c>
      <c r="C433" s="49" t="s">
        <v>266</v>
      </c>
      <c r="D433" s="84">
        <v>45979</v>
      </c>
      <c r="E433" s="35" t="s">
        <v>59</v>
      </c>
      <c r="F433" s="34">
        <v>320</v>
      </c>
      <c r="G433" s="35">
        <v>45986</v>
      </c>
      <c r="H433" s="60"/>
    </row>
    <row r="434" spans="1:8" ht="15.75" hidden="1" thickBot="1" x14ac:dyDescent="0.3">
      <c r="A434" s="50" t="s">
        <v>67</v>
      </c>
      <c r="B434" s="87" t="s">
        <v>727</v>
      </c>
      <c r="C434" s="88" t="s">
        <v>728</v>
      </c>
      <c r="D434" s="89">
        <v>45980</v>
      </c>
      <c r="E434" s="9" t="s">
        <v>72</v>
      </c>
      <c r="F434" s="34" t="s">
        <v>221</v>
      </c>
      <c r="G434" s="35"/>
      <c r="H434" s="55" t="s">
        <v>729</v>
      </c>
    </row>
    <row r="435" spans="1:8" ht="15" hidden="1" thickBot="1" x14ac:dyDescent="0.25">
      <c r="A435" s="34" t="s">
        <v>730</v>
      </c>
      <c r="B435" s="36" t="s">
        <v>738</v>
      </c>
      <c r="C435" s="36" t="s">
        <v>455</v>
      </c>
      <c r="D435" s="35">
        <v>45960</v>
      </c>
      <c r="E435" s="34" t="s">
        <v>59</v>
      </c>
      <c r="F435" s="34">
        <v>3300</v>
      </c>
      <c r="G435" s="35">
        <v>45984</v>
      </c>
      <c r="H435" s="60" t="s">
        <v>739</v>
      </c>
    </row>
    <row r="436" spans="1:8" ht="15.75" hidden="1" thickBot="1" x14ac:dyDescent="0.3">
      <c r="A436" s="34" t="s">
        <v>741</v>
      </c>
      <c r="B436" s="7" t="s">
        <v>731</v>
      </c>
      <c r="C436" s="83" t="s">
        <v>455</v>
      </c>
      <c r="D436" s="84">
        <v>45972</v>
      </c>
      <c r="E436" s="9" t="s">
        <v>59</v>
      </c>
      <c r="F436" s="101">
        <v>290</v>
      </c>
      <c r="G436" s="35">
        <v>45994</v>
      </c>
      <c r="H436" s="60"/>
    </row>
    <row r="437" spans="1:8" ht="15.75" hidden="1" thickBot="1" x14ac:dyDescent="0.3">
      <c r="A437" s="34" t="s">
        <v>741</v>
      </c>
      <c r="B437" s="7" t="s">
        <v>732</v>
      </c>
      <c r="C437" s="83" t="s">
        <v>455</v>
      </c>
      <c r="D437" s="84">
        <v>45972</v>
      </c>
      <c r="E437" s="9" t="s">
        <v>59</v>
      </c>
      <c r="F437" s="101">
        <v>3407</v>
      </c>
      <c r="G437" s="35">
        <v>45994</v>
      </c>
      <c r="H437" s="61"/>
    </row>
    <row r="438" spans="1:8" ht="15.75" hidden="1" thickBot="1" x14ac:dyDescent="0.3">
      <c r="A438" s="34" t="s">
        <v>741</v>
      </c>
      <c r="B438" s="86" t="s">
        <v>733</v>
      </c>
      <c r="C438" s="83" t="s">
        <v>455</v>
      </c>
      <c r="D438" s="84">
        <v>45972</v>
      </c>
      <c r="E438" s="9" t="s">
        <v>59</v>
      </c>
      <c r="F438" s="101">
        <v>1600</v>
      </c>
      <c r="G438" s="35">
        <v>45994</v>
      </c>
      <c r="H438" s="61"/>
    </row>
    <row r="439" spans="1:8" ht="15.75" hidden="1" thickBot="1" x14ac:dyDescent="0.3">
      <c r="A439" s="34" t="s">
        <v>741</v>
      </c>
      <c r="B439" s="7" t="s">
        <v>734</v>
      </c>
      <c r="C439" s="83" t="s">
        <v>455</v>
      </c>
      <c r="D439" s="84">
        <v>45972</v>
      </c>
      <c r="E439" s="9" t="s">
        <v>59</v>
      </c>
      <c r="F439" s="101">
        <v>5200</v>
      </c>
      <c r="G439" s="35">
        <v>45994</v>
      </c>
      <c r="H439" s="61"/>
    </row>
    <row r="440" spans="1:8" ht="15.75" hidden="1" thickBot="1" x14ac:dyDescent="0.25">
      <c r="A440" s="21" t="s">
        <v>132</v>
      </c>
      <c r="B440" s="7" t="s">
        <v>388</v>
      </c>
      <c r="C440" s="7" t="s">
        <v>735</v>
      </c>
      <c r="D440" s="8">
        <v>45985</v>
      </c>
      <c r="E440" s="9" t="s">
        <v>72</v>
      </c>
      <c r="F440" s="9">
        <v>1000</v>
      </c>
      <c r="G440" s="31">
        <v>46005</v>
      </c>
      <c r="H440" s="61" t="s">
        <v>753</v>
      </c>
    </row>
    <row r="441" spans="1:8" ht="15.75" hidden="1" thickBot="1" x14ac:dyDescent="0.25">
      <c r="A441" s="21" t="s">
        <v>132</v>
      </c>
      <c r="B441" s="7" t="s">
        <v>381</v>
      </c>
      <c r="C441" s="7" t="s">
        <v>735</v>
      </c>
      <c r="D441" s="8">
        <v>45985</v>
      </c>
      <c r="E441" s="9" t="s">
        <v>67</v>
      </c>
      <c r="F441" s="9">
        <v>1300</v>
      </c>
      <c r="G441" s="31">
        <v>45994</v>
      </c>
      <c r="H441" s="61" t="s">
        <v>753</v>
      </c>
    </row>
    <row r="442" spans="1:8" ht="15.75" hidden="1" thickBot="1" x14ac:dyDescent="0.25">
      <c r="A442" s="34" t="s">
        <v>700</v>
      </c>
      <c r="B442" s="49" t="s">
        <v>736</v>
      </c>
      <c r="C442" s="92" t="s">
        <v>46</v>
      </c>
      <c r="D442" s="12">
        <v>45986</v>
      </c>
      <c r="E442" s="11" t="s">
        <v>59</v>
      </c>
      <c r="F442" s="94">
        <v>0.9</v>
      </c>
      <c r="G442" s="12">
        <v>45987</v>
      </c>
      <c r="H442" s="93"/>
    </row>
    <row r="443" spans="1:8" ht="15.75" hidden="1" thickBot="1" x14ac:dyDescent="0.25">
      <c r="A443" s="34" t="s">
        <v>699</v>
      </c>
      <c r="B443" s="49" t="s">
        <v>555</v>
      </c>
      <c r="C443" s="49" t="s">
        <v>160</v>
      </c>
      <c r="D443" s="12">
        <v>45985</v>
      </c>
      <c r="E443" s="11" t="s">
        <v>59</v>
      </c>
      <c r="F443" s="11" t="s">
        <v>486</v>
      </c>
      <c r="G443" s="12">
        <v>45994</v>
      </c>
      <c r="H443" s="71" t="s">
        <v>62</v>
      </c>
    </row>
    <row r="444" spans="1:8" ht="15.75" hidden="1" thickBot="1" x14ac:dyDescent="0.25">
      <c r="A444" s="34" t="s">
        <v>699</v>
      </c>
      <c r="B444" s="49" t="s">
        <v>533</v>
      </c>
      <c r="C444" s="49" t="s">
        <v>160</v>
      </c>
      <c r="D444" s="12">
        <v>45985</v>
      </c>
      <c r="E444" s="11" t="s">
        <v>59</v>
      </c>
      <c r="F444" s="11" t="s">
        <v>743</v>
      </c>
      <c r="G444" s="12">
        <v>45994</v>
      </c>
      <c r="H444" s="71" t="s">
        <v>62</v>
      </c>
    </row>
    <row r="445" spans="1:8" ht="15" hidden="1" thickBot="1" x14ac:dyDescent="0.25">
      <c r="A445" s="34" t="s">
        <v>730</v>
      </c>
      <c r="B445" s="36" t="s">
        <v>744</v>
      </c>
      <c r="C445" s="36" t="s">
        <v>455</v>
      </c>
      <c r="D445" s="35"/>
      <c r="E445" s="34" t="s">
        <v>59</v>
      </c>
      <c r="F445" s="34"/>
      <c r="G445" s="35"/>
      <c r="H445" s="60"/>
    </row>
    <row r="446" spans="1:8" ht="15" hidden="1" thickBot="1" x14ac:dyDescent="0.25">
      <c r="A446" s="34" t="s">
        <v>730</v>
      </c>
      <c r="B446" s="36" t="s">
        <v>745</v>
      </c>
      <c r="C446" s="36" t="s">
        <v>455</v>
      </c>
      <c r="D446" s="35"/>
      <c r="E446" s="34" t="s">
        <v>59</v>
      </c>
      <c r="F446" s="34"/>
      <c r="G446" s="35"/>
      <c r="H446" s="60"/>
    </row>
    <row r="447" spans="1:8" ht="15.75" hidden="1" thickBot="1" x14ac:dyDescent="0.3">
      <c r="A447" s="34" t="s">
        <v>741</v>
      </c>
      <c r="B447" s="7" t="s">
        <v>747</v>
      </c>
      <c r="C447" s="83" t="s">
        <v>455</v>
      </c>
      <c r="D447" s="84">
        <v>45994</v>
      </c>
      <c r="E447" s="9" t="s">
        <v>59</v>
      </c>
      <c r="F447" s="59">
        <v>2000</v>
      </c>
      <c r="G447" s="31"/>
      <c r="H447" s="61"/>
    </row>
    <row r="448" spans="1:8" ht="15" hidden="1" thickBot="1" x14ac:dyDescent="0.25">
      <c r="A448" s="34" t="s">
        <v>730</v>
      </c>
      <c r="B448" s="36" t="s">
        <v>748</v>
      </c>
      <c r="C448" s="36" t="s">
        <v>455</v>
      </c>
      <c r="D448" s="35">
        <v>45992</v>
      </c>
      <c r="E448" s="34" t="s">
        <v>59</v>
      </c>
      <c r="F448" s="34">
        <v>50</v>
      </c>
      <c r="G448" s="35"/>
      <c r="H448" s="60" t="s">
        <v>746</v>
      </c>
    </row>
    <row r="449" spans="1:8" ht="15.75" hidden="1" thickBot="1" x14ac:dyDescent="0.25">
      <c r="A449" s="21" t="s">
        <v>11</v>
      </c>
      <c r="B449" s="92" t="s">
        <v>749</v>
      </c>
      <c r="C449" s="92" t="s">
        <v>266</v>
      </c>
      <c r="D449" s="102">
        <v>46001</v>
      </c>
      <c r="E449" s="15" t="s">
        <v>59</v>
      </c>
      <c r="F449" s="14">
        <v>50</v>
      </c>
      <c r="G449" s="15">
        <v>45986</v>
      </c>
      <c r="H449" s="103"/>
    </row>
    <row r="450" spans="1:8" ht="15" hidden="1" thickBot="1" x14ac:dyDescent="0.25">
      <c r="A450" s="34" t="s">
        <v>751</v>
      </c>
      <c r="B450" s="36" t="s">
        <v>752</v>
      </c>
      <c r="C450" s="36" t="s">
        <v>58</v>
      </c>
      <c r="D450" s="35">
        <v>45999</v>
      </c>
      <c r="E450" s="34" t="s">
        <v>401</v>
      </c>
      <c r="F450" s="34">
        <v>0.01</v>
      </c>
      <c r="G450" s="35">
        <v>46000</v>
      </c>
      <c r="H450" s="60"/>
    </row>
    <row r="451" spans="1:8" ht="15.75" thickBot="1" x14ac:dyDescent="0.25">
      <c r="A451" s="14" t="s">
        <v>6</v>
      </c>
      <c r="B451" s="49" t="s">
        <v>698</v>
      </c>
      <c r="C451" s="49" t="s">
        <v>58</v>
      </c>
      <c r="D451" s="12">
        <v>45965</v>
      </c>
      <c r="E451" s="12" t="s">
        <v>72</v>
      </c>
      <c r="F451" s="11">
        <v>0.05</v>
      </c>
      <c r="G451" s="12">
        <v>45783</v>
      </c>
      <c r="H451" s="71"/>
    </row>
    <row r="452" spans="1:8" ht="29.25" hidden="1" thickBot="1" x14ac:dyDescent="0.25">
      <c r="A452" s="34" t="s">
        <v>132</v>
      </c>
      <c r="B452" s="36" t="s">
        <v>754</v>
      </c>
      <c r="C452" s="36" t="s">
        <v>755</v>
      </c>
      <c r="D452" s="35">
        <v>46005</v>
      </c>
      <c r="E452" s="34" t="s">
        <v>67</v>
      </c>
      <c r="F452" s="34">
        <v>3000</v>
      </c>
      <c r="G452" s="35"/>
      <c r="H452" s="60" t="s">
        <v>799</v>
      </c>
    </row>
    <row r="453" spans="1:8" ht="15" hidden="1" thickBot="1" x14ac:dyDescent="0.25">
      <c r="A453" s="34" t="s">
        <v>132</v>
      </c>
      <c r="B453" s="36" t="s">
        <v>798</v>
      </c>
      <c r="C453" s="36" t="s">
        <v>756</v>
      </c>
      <c r="D453" s="35">
        <v>46005</v>
      </c>
      <c r="E453" s="34" t="s">
        <v>67</v>
      </c>
      <c r="F453" s="34"/>
      <c r="G453" s="35"/>
      <c r="H453" s="60" t="s">
        <v>757</v>
      </c>
    </row>
    <row r="454" spans="1:8" ht="15" hidden="1" thickBot="1" x14ac:dyDescent="0.25">
      <c r="A454" s="34" t="s">
        <v>11</v>
      </c>
      <c r="B454" s="36" t="s">
        <v>750</v>
      </c>
      <c r="C454" s="36" t="s">
        <v>266</v>
      </c>
      <c r="D454" s="35">
        <v>46001</v>
      </c>
      <c r="E454" s="34" t="s">
        <v>59</v>
      </c>
      <c r="F454" s="34">
        <v>0.7</v>
      </c>
      <c r="G454" s="35">
        <v>46007</v>
      </c>
      <c r="H454" s="60"/>
    </row>
    <row r="455" spans="1:8" ht="15" hidden="1" thickBot="1" x14ac:dyDescent="0.25">
      <c r="A455" s="34" t="s">
        <v>132</v>
      </c>
      <c r="B455" s="36" t="s">
        <v>283</v>
      </c>
      <c r="C455" s="36" t="s">
        <v>761</v>
      </c>
      <c r="D455" s="35">
        <v>46014</v>
      </c>
      <c r="E455" s="34" t="s">
        <v>59</v>
      </c>
      <c r="F455" s="34"/>
      <c r="G455" s="35"/>
      <c r="H455" s="60"/>
    </row>
    <row r="456" spans="1:8" ht="15" hidden="1" thickBot="1" x14ac:dyDescent="0.25">
      <c r="A456" s="34" t="s">
        <v>699</v>
      </c>
      <c r="B456" s="36" t="s">
        <v>769</v>
      </c>
      <c r="C456" s="36" t="s">
        <v>58</v>
      </c>
      <c r="D456" s="35">
        <v>45795</v>
      </c>
      <c r="E456" s="34" t="s">
        <v>72</v>
      </c>
      <c r="F456" s="34">
        <v>2</v>
      </c>
      <c r="G456" s="35">
        <v>45795</v>
      </c>
      <c r="H456" s="60" t="s">
        <v>770</v>
      </c>
    </row>
    <row r="457" spans="1:8" ht="15.75" hidden="1" thickBot="1" x14ac:dyDescent="0.25">
      <c r="A457" s="14" t="s">
        <v>700</v>
      </c>
      <c r="B457" s="49" t="s">
        <v>126</v>
      </c>
      <c r="C457" s="49" t="s">
        <v>58</v>
      </c>
      <c r="D457" s="12">
        <v>45865</v>
      </c>
      <c r="E457" s="11" t="s">
        <v>72</v>
      </c>
      <c r="F457" s="11">
        <v>0.01</v>
      </c>
      <c r="G457" s="12">
        <v>45865</v>
      </c>
      <c r="H457" s="71" t="s">
        <v>704</v>
      </c>
    </row>
    <row r="458" spans="1:8" ht="15" hidden="1" thickBot="1" x14ac:dyDescent="0.25">
      <c r="A458" s="34" t="s">
        <v>67</v>
      </c>
      <c r="B458" s="36" t="s">
        <v>767</v>
      </c>
      <c r="C458" s="36" t="s">
        <v>58</v>
      </c>
      <c r="D458" s="35">
        <v>45869</v>
      </c>
      <c r="E458" s="34" t="s">
        <v>72</v>
      </c>
      <c r="F458" s="34">
        <v>2</v>
      </c>
      <c r="G458" s="35">
        <v>45869</v>
      </c>
      <c r="H458" s="60" t="s">
        <v>768</v>
      </c>
    </row>
    <row r="459" spans="1:8" ht="15" hidden="1" thickBot="1" x14ac:dyDescent="0.25">
      <c r="A459" s="34" t="s">
        <v>723</v>
      </c>
      <c r="B459" s="36" t="s">
        <v>585</v>
      </c>
      <c r="C459" s="36" t="s">
        <v>58</v>
      </c>
      <c r="D459" s="35">
        <v>45980</v>
      </c>
      <c r="E459" s="34" t="s">
        <v>72</v>
      </c>
      <c r="F459" s="34">
        <v>2</v>
      </c>
      <c r="G459" s="35">
        <v>45980</v>
      </c>
      <c r="H459" s="60" t="s">
        <v>765</v>
      </c>
    </row>
    <row r="460" spans="1:8" ht="15" thickBot="1" x14ac:dyDescent="0.25">
      <c r="A460" s="34" t="s">
        <v>6</v>
      </c>
      <c r="B460" s="36" t="s">
        <v>759</v>
      </c>
      <c r="C460" s="36" t="s">
        <v>760</v>
      </c>
      <c r="D460" s="35">
        <v>46002</v>
      </c>
      <c r="E460" s="34" t="s">
        <v>109</v>
      </c>
      <c r="F460" s="34">
        <v>15.4</v>
      </c>
      <c r="G460" s="35">
        <v>46009</v>
      </c>
      <c r="H460" s="60"/>
    </row>
    <row r="461" spans="1:8" ht="15" hidden="1" thickBot="1" x14ac:dyDescent="0.25">
      <c r="A461" s="34" t="s">
        <v>67</v>
      </c>
      <c r="B461" s="36" t="s">
        <v>764</v>
      </c>
      <c r="C461" s="36" t="s">
        <v>58</v>
      </c>
      <c r="D461" s="35">
        <v>46005</v>
      </c>
      <c r="E461" s="34" t="s">
        <v>72</v>
      </c>
      <c r="F461" s="34">
        <v>2</v>
      </c>
      <c r="G461" s="35">
        <v>46005</v>
      </c>
      <c r="H461" s="60" t="s">
        <v>766</v>
      </c>
    </row>
    <row r="462" spans="1:8" ht="15" hidden="1" thickBot="1" x14ac:dyDescent="0.25">
      <c r="A462" s="34" t="s">
        <v>67</v>
      </c>
      <c r="B462" s="36" t="s">
        <v>762</v>
      </c>
      <c r="C462" s="36" t="s">
        <v>58</v>
      </c>
      <c r="D462" s="35">
        <v>46007</v>
      </c>
      <c r="E462" s="34" t="s">
        <v>72</v>
      </c>
      <c r="F462" s="34">
        <v>2</v>
      </c>
      <c r="G462" s="35">
        <v>46007</v>
      </c>
      <c r="H462" s="60" t="s">
        <v>763</v>
      </c>
    </row>
    <row r="463" spans="1:8" ht="15" hidden="1" thickBot="1" x14ac:dyDescent="0.25">
      <c r="A463" s="34" t="s">
        <v>132</v>
      </c>
      <c r="B463" s="105" t="s">
        <v>773</v>
      </c>
      <c r="C463" s="36" t="s">
        <v>756</v>
      </c>
      <c r="D463" s="35">
        <v>46040</v>
      </c>
      <c r="E463" s="34"/>
      <c r="F463" s="34"/>
      <c r="G463" s="35"/>
      <c r="H463" s="60"/>
    </row>
    <row r="464" spans="1:8" ht="15" hidden="1" thickBot="1" x14ac:dyDescent="0.25">
      <c r="A464" s="34" t="s">
        <v>132</v>
      </c>
      <c r="B464" s="105" t="s">
        <v>774</v>
      </c>
      <c r="C464" s="36" t="s">
        <v>266</v>
      </c>
      <c r="D464" s="35">
        <v>46037</v>
      </c>
      <c r="E464" s="34"/>
      <c r="F464" s="34"/>
      <c r="G464" s="35"/>
      <c r="H464" s="60"/>
    </row>
    <row r="465" spans="1:8" ht="15.75" hidden="1" thickBot="1" x14ac:dyDescent="0.25">
      <c r="A465" s="34" t="s">
        <v>132</v>
      </c>
      <c r="B465" s="105" t="s">
        <v>775</v>
      </c>
      <c r="C465" s="36" t="s">
        <v>266</v>
      </c>
      <c r="D465" s="35">
        <v>46037</v>
      </c>
      <c r="E465" s="34"/>
      <c r="F465" s="34"/>
      <c r="G465" s="35"/>
      <c r="H465" s="60"/>
    </row>
    <row r="466" spans="1:8" ht="15.75" hidden="1" thickBot="1" x14ac:dyDescent="0.25">
      <c r="A466" s="34" t="s">
        <v>132</v>
      </c>
      <c r="B466" s="105" t="s">
        <v>776</v>
      </c>
      <c r="C466" s="36" t="s">
        <v>756</v>
      </c>
      <c r="D466" s="35">
        <v>46037</v>
      </c>
      <c r="E466" s="34"/>
      <c r="F466" s="34"/>
      <c r="G466" s="35">
        <v>46110</v>
      </c>
      <c r="H466" s="60"/>
    </row>
    <row r="467" spans="1:8" ht="15" hidden="1" thickBot="1" x14ac:dyDescent="0.25">
      <c r="A467" s="34" t="s">
        <v>777</v>
      </c>
      <c r="B467" s="36" t="s">
        <v>778</v>
      </c>
      <c r="C467" s="36" t="s">
        <v>779</v>
      </c>
      <c r="D467" s="35">
        <v>46054</v>
      </c>
      <c r="E467" s="34" t="s">
        <v>59</v>
      </c>
      <c r="F467" s="34"/>
      <c r="G467" s="35"/>
      <c r="H467" s="60"/>
    </row>
    <row r="468" spans="1:8" ht="15" hidden="1" thickBot="1" x14ac:dyDescent="0.25">
      <c r="A468" s="34" t="s">
        <v>730</v>
      </c>
      <c r="B468" s="36" t="s">
        <v>601</v>
      </c>
      <c r="C468" s="36" t="s">
        <v>780</v>
      </c>
      <c r="D468" s="35">
        <v>46050</v>
      </c>
      <c r="E468" s="34" t="s">
        <v>72</v>
      </c>
      <c r="F468" s="34">
        <v>800</v>
      </c>
      <c r="G468" s="35">
        <v>46091</v>
      </c>
      <c r="H468" s="60" t="s">
        <v>829</v>
      </c>
    </row>
    <row r="469" spans="1:8" ht="15" hidden="1" thickBot="1" x14ac:dyDescent="0.25">
      <c r="A469" s="34" t="s">
        <v>67</v>
      </c>
      <c r="B469" s="36" t="s">
        <v>782</v>
      </c>
      <c r="C469" s="36" t="s">
        <v>528</v>
      </c>
      <c r="D469" s="35">
        <v>46061</v>
      </c>
      <c r="E469" s="34" t="s">
        <v>72</v>
      </c>
      <c r="F469" s="34" t="s">
        <v>513</v>
      </c>
      <c r="G469" s="35">
        <v>46062</v>
      </c>
      <c r="H469" s="60" t="s">
        <v>62</v>
      </c>
    </row>
    <row r="470" spans="1:8" ht="15" hidden="1" thickBot="1" x14ac:dyDescent="0.25">
      <c r="A470" s="34" t="s">
        <v>67</v>
      </c>
      <c r="B470" s="36" t="s">
        <v>783</v>
      </c>
      <c r="C470" s="36" t="s">
        <v>485</v>
      </c>
      <c r="D470" s="35">
        <v>46061</v>
      </c>
      <c r="E470" s="34" t="s">
        <v>59</v>
      </c>
      <c r="F470" s="34" t="s">
        <v>784</v>
      </c>
      <c r="G470" s="35">
        <v>46062</v>
      </c>
      <c r="H470" s="60" t="s">
        <v>62</v>
      </c>
    </row>
    <row r="471" spans="1:8" ht="15" hidden="1" thickBot="1" x14ac:dyDescent="0.25">
      <c r="A471" s="34" t="s">
        <v>67</v>
      </c>
      <c r="B471" s="36" t="s">
        <v>785</v>
      </c>
      <c r="C471" s="36" t="s">
        <v>485</v>
      </c>
      <c r="D471" s="35">
        <v>46061</v>
      </c>
      <c r="E471" s="34" t="s">
        <v>59</v>
      </c>
      <c r="F471" s="34">
        <v>5</v>
      </c>
      <c r="G471" s="35">
        <v>46062</v>
      </c>
      <c r="H471" s="60" t="s">
        <v>707</v>
      </c>
    </row>
    <row r="472" spans="1:8" ht="15" hidden="1" thickBot="1" x14ac:dyDescent="0.25">
      <c r="A472" s="34" t="s">
        <v>67</v>
      </c>
      <c r="B472" s="36" t="s">
        <v>786</v>
      </c>
      <c r="C472" s="36" t="s">
        <v>485</v>
      </c>
      <c r="D472" s="35">
        <v>46062</v>
      </c>
      <c r="E472" s="34" t="s">
        <v>59</v>
      </c>
      <c r="F472" s="34">
        <v>147</v>
      </c>
      <c r="G472" s="35">
        <v>45699</v>
      </c>
      <c r="H472" s="60" t="s">
        <v>707</v>
      </c>
    </row>
    <row r="473" spans="1:8" ht="15" hidden="1" customHeight="1" thickBot="1" x14ac:dyDescent="0.25">
      <c r="A473" s="34" t="s">
        <v>67</v>
      </c>
      <c r="B473" s="36" t="s">
        <v>788</v>
      </c>
      <c r="C473" s="36" t="s">
        <v>528</v>
      </c>
      <c r="D473" s="35">
        <v>46061</v>
      </c>
      <c r="E473" s="34" t="s">
        <v>59</v>
      </c>
      <c r="F473" s="34">
        <v>1.5</v>
      </c>
      <c r="G473" s="35">
        <v>43870</v>
      </c>
      <c r="H473" s="60" t="s">
        <v>707</v>
      </c>
    </row>
    <row r="474" spans="1:8" ht="15" hidden="1" thickBot="1" x14ac:dyDescent="0.25">
      <c r="A474" s="34" t="s">
        <v>700</v>
      </c>
      <c r="B474" s="36" t="s">
        <v>789</v>
      </c>
      <c r="C474" s="36" t="s">
        <v>485</v>
      </c>
      <c r="D474" s="35">
        <v>46069</v>
      </c>
      <c r="E474" s="34" t="s">
        <v>59</v>
      </c>
      <c r="F474" s="34" t="s">
        <v>513</v>
      </c>
      <c r="G474" s="35">
        <v>46064</v>
      </c>
      <c r="H474" s="60" t="s">
        <v>62</v>
      </c>
    </row>
    <row r="475" spans="1:8" ht="15" hidden="1" thickBot="1" x14ac:dyDescent="0.25">
      <c r="A475" s="34" t="s">
        <v>67</v>
      </c>
      <c r="B475" s="36" t="s">
        <v>790</v>
      </c>
      <c r="C475" s="36" t="s">
        <v>791</v>
      </c>
      <c r="D475" s="35">
        <v>46062</v>
      </c>
      <c r="E475" s="34" t="s">
        <v>59</v>
      </c>
      <c r="F475" s="34"/>
      <c r="G475" s="35"/>
      <c r="H475" s="60"/>
    </row>
    <row r="476" spans="1:8" ht="15" hidden="1" thickBot="1" x14ac:dyDescent="0.25">
      <c r="A476" s="34" t="s">
        <v>11</v>
      </c>
      <c r="B476" s="36" t="s">
        <v>792</v>
      </c>
      <c r="C476" s="36" t="s">
        <v>175</v>
      </c>
      <c r="D476" s="35">
        <v>46070</v>
      </c>
      <c r="E476" s="34" t="s">
        <v>59</v>
      </c>
      <c r="F476" s="34">
        <v>0.8</v>
      </c>
      <c r="G476" s="35">
        <v>46019</v>
      </c>
      <c r="H476" s="60"/>
    </row>
    <row r="477" spans="1:8" ht="15" hidden="1" thickBot="1" x14ac:dyDescent="0.25">
      <c r="A477" s="34" t="s">
        <v>11</v>
      </c>
      <c r="B477" s="36" t="s">
        <v>793</v>
      </c>
      <c r="C477" s="36" t="s">
        <v>162</v>
      </c>
      <c r="D477" s="35">
        <v>46070</v>
      </c>
      <c r="E477" s="34" t="s">
        <v>59</v>
      </c>
      <c r="F477" s="34">
        <v>0.5</v>
      </c>
      <c r="G477" s="35">
        <v>46019</v>
      </c>
      <c r="H477" s="60"/>
    </row>
    <row r="478" spans="1:8" ht="15" hidden="1" thickBot="1" x14ac:dyDescent="0.25">
      <c r="A478" s="34" t="s">
        <v>701</v>
      </c>
      <c r="B478" s="36" t="s">
        <v>451</v>
      </c>
      <c r="C478" s="36" t="s">
        <v>175</v>
      </c>
      <c r="D478" s="35">
        <v>46072</v>
      </c>
      <c r="E478" s="34" t="s">
        <v>72</v>
      </c>
      <c r="F478" s="34" t="s">
        <v>486</v>
      </c>
      <c r="G478" s="35" t="s">
        <v>875</v>
      </c>
      <c r="H478" s="60"/>
    </row>
    <row r="479" spans="1:8" ht="15" hidden="1" thickBot="1" x14ac:dyDescent="0.25">
      <c r="A479" s="34" t="s">
        <v>699</v>
      </c>
      <c r="B479" s="36" t="s">
        <v>787</v>
      </c>
      <c r="C479" s="36" t="s">
        <v>54</v>
      </c>
      <c r="D479" s="35">
        <v>45697</v>
      </c>
      <c r="E479" s="34" t="s">
        <v>72</v>
      </c>
      <c r="F479" s="34">
        <v>0.01</v>
      </c>
      <c r="G479" s="35">
        <v>45697</v>
      </c>
      <c r="H479" s="60"/>
    </row>
    <row r="480" spans="1:8" ht="15" hidden="1" thickBot="1" x14ac:dyDescent="0.25">
      <c r="A480" s="34" t="s">
        <v>67</v>
      </c>
      <c r="B480" s="36" t="s">
        <v>794</v>
      </c>
      <c r="C480" s="36" t="s">
        <v>791</v>
      </c>
      <c r="D480" s="35">
        <v>46072</v>
      </c>
      <c r="E480" s="34" t="s">
        <v>59</v>
      </c>
      <c r="F480" s="34"/>
      <c r="G480" s="35"/>
      <c r="H480" s="60"/>
    </row>
    <row r="481" spans="1:8" ht="15" thickBot="1" x14ac:dyDescent="0.25">
      <c r="A481" s="34" t="s">
        <v>6</v>
      </c>
      <c r="B481" s="36" t="s">
        <v>795</v>
      </c>
      <c r="C481" s="36" t="s">
        <v>796</v>
      </c>
      <c r="D481" s="35">
        <v>46075</v>
      </c>
      <c r="E481" s="34" t="s">
        <v>59</v>
      </c>
      <c r="F481" s="34" t="s">
        <v>486</v>
      </c>
      <c r="G481" s="35">
        <v>46075</v>
      </c>
      <c r="H481" s="60" t="s">
        <v>797</v>
      </c>
    </row>
    <row r="482" spans="1:8" ht="15" thickBot="1" x14ac:dyDescent="0.25">
      <c r="A482" s="34" t="s">
        <v>6</v>
      </c>
      <c r="B482" s="36" t="s">
        <v>800</v>
      </c>
      <c r="C482" s="36" t="s">
        <v>485</v>
      </c>
      <c r="D482" s="35">
        <v>46082</v>
      </c>
      <c r="E482" s="34" t="s">
        <v>59</v>
      </c>
      <c r="F482" s="34" t="s">
        <v>803</v>
      </c>
      <c r="G482" s="35">
        <v>46083</v>
      </c>
      <c r="H482" s="60" t="s">
        <v>797</v>
      </c>
    </row>
    <row r="483" spans="1:8" ht="15" thickBot="1" x14ac:dyDescent="0.25">
      <c r="A483" s="34" t="s">
        <v>6</v>
      </c>
      <c r="B483" s="36" t="s">
        <v>801</v>
      </c>
      <c r="C483" s="36" t="s">
        <v>802</v>
      </c>
      <c r="D483" s="35">
        <v>46082</v>
      </c>
      <c r="E483" s="34" t="s">
        <v>59</v>
      </c>
      <c r="F483" s="34" t="s">
        <v>486</v>
      </c>
      <c r="G483" s="35">
        <v>46083</v>
      </c>
      <c r="H483" s="60" t="s">
        <v>804</v>
      </c>
    </row>
    <row r="484" spans="1:8" ht="15" thickBot="1" x14ac:dyDescent="0.25">
      <c r="A484" s="34" t="s">
        <v>6</v>
      </c>
      <c r="B484" s="36" t="s">
        <v>805</v>
      </c>
      <c r="C484" s="36" t="s">
        <v>806</v>
      </c>
      <c r="D484" s="35">
        <v>46083</v>
      </c>
      <c r="E484" s="34" t="s">
        <v>59</v>
      </c>
      <c r="F484" s="34">
        <v>1200</v>
      </c>
      <c r="G484" s="35">
        <v>46117</v>
      </c>
      <c r="H484" s="60" t="s">
        <v>874</v>
      </c>
    </row>
    <row r="485" spans="1:8" ht="15" hidden="1" thickBot="1" x14ac:dyDescent="0.25">
      <c r="A485" s="34" t="s">
        <v>699</v>
      </c>
      <c r="B485" s="36" t="s">
        <v>808</v>
      </c>
      <c r="C485" s="36" t="s">
        <v>58</v>
      </c>
      <c r="D485" s="35">
        <v>46077</v>
      </c>
      <c r="E485" s="34" t="s">
        <v>72</v>
      </c>
      <c r="F485" s="34">
        <v>0.01</v>
      </c>
      <c r="G485" s="35">
        <v>46077</v>
      </c>
      <c r="H485" s="60"/>
    </row>
    <row r="486" spans="1:8" ht="15" hidden="1" thickBot="1" x14ac:dyDescent="0.25">
      <c r="A486" s="34" t="s">
        <v>132</v>
      </c>
      <c r="B486" s="36" t="s">
        <v>809</v>
      </c>
      <c r="C486" s="36" t="s">
        <v>266</v>
      </c>
      <c r="D486" s="35">
        <v>46070</v>
      </c>
      <c r="E486" s="34"/>
      <c r="F486" s="34"/>
      <c r="G486" s="35">
        <v>46078</v>
      </c>
      <c r="H486" s="60"/>
    </row>
    <row r="487" spans="1:8" ht="15" hidden="1" thickBot="1" x14ac:dyDescent="0.25">
      <c r="A487" s="34" t="s">
        <v>132</v>
      </c>
      <c r="B487" s="36" t="s">
        <v>810</v>
      </c>
      <c r="C487" s="36" t="s">
        <v>811</v>
      </c>
      <c r="D487" s="35">
        <v>46079</v>
      </c>
      <c r="E487" s="34"/>
      <c r="F487" s="34"/>
      <c r="G487" s="35"/>
      <c r="H487" s="60"/>
    </row>
    <row r="488" spans="1:8" ht="15" hidden="1" thickBot="1" x14ac:dyDescent="0.25">
      <c r="A488" s="34" t="s">
        <v>132</v>
      </c>
      <c r="B488" s="36" t="s">
        <v>812</v>
      </c>
      <c r="C488" s="36" t="s">
        <v>813</v>
      </c>
      <c r="D488" s="35">
        <v>46083</v>
      </c>
      <c r="E488" s="34"/>
      <c r="F488" s="34"/>
      <c r="G488" s="35">
        <v>46084</v>
      </c>
      <c r="H488" s="60"/>
    </row>
    <row r="489" spans="1:8" ht="15" hidden="1" thickBot="1" x14ac:dyDescent="0.25">
      <c r="A489" s="34" t="s">
        <v>814</v>
      </c>
      <c r="B489" s="36" t="s">
        <v>815</v>
      </c>
      <c r="C489" s="36" t="s">
        <v>824</v>
      </c>
      <c r="D489" s="35">
        <v>46038</v>
      </c>
      <c r="E489" s="34"/>
      <c r="F489" s="34"/>
      <c r="G489" s="35"/>
      <c r="H489" s="60"/>
    </row>
    <row r="490" spans="1:8" ht="15" hidden="1" thickBot="1" x14ac:dyDescent="0.25">
      <c r="A490" s="34" t="s">
        <v>814</v>
      </c>
      <c r="B490" s="30" t="s">
        <v>816</v>
      </c>
      <c r="C490" s="36" t="s">
        <v>824</v>
      </c>
      <c r="D490" s="35">
        <v>46038</v>
      </c>
      <c r="E490" s="32"/>
      <c r="F490" s="32"/>
      <c r="G490" s="31"/>
      <c r="H490" s="61"/>
    </row>
    <row r="491" spans="1:8" ht="15" hidden="1" thickBot="1" x14ac:dyDescent="0.25">
      <c r="A491" s="34" t="s">
        <v>814</v>
      </c>
      <c r="B491" s="30" t="s">
        <v>817</v>
      </c>
      <c r="C491" s="36" t="s">
        <v>824</v>
      </c>
      <c r="D491" s="35">
        <v>46038</v>
      </c>
      <c r="E491" s="32"/>
      <c r="F491" s="32"/>
      <c r="G491" s="31"/>
      <c r="H491" s="61"/>
    </row>
    <row r="492" spans="1:8" ht="15" hidden="1" thickBot="1" x14ac:dyDescent="0.25">
      <c r="A492" s="34" t="s">
        <v>814</v>
      </c>
      <c r="B492" s="30" t="s">
        <v>818</v>
      </c>
      <c r="C492" s="36" t="s">
        <v>824</v>
      </c>
      <c r="D492" s="35">
        <v>46038</v>
      </c>
      <c r="E492" s="32"/>
      <c r="F492" s="32"/>
      <c r="G492" s="31"/>
      <c r="H492" s="61" t="s">
        <v>825</v>
      </c>
    </row>
    <row r="493" spans="1:8" ht="15" hidden="1" thickBot="1" x14ac:dyDescent="0.25">
      <c r="A493" s="34" t="s">
        <v>814</v>
      </c>
      <c r="B493" s="30" t="s">
        <v>819</v>
      </c>
      <c r="C493" s="36" t="s">
        <v>824</v>
      </c>
      <c r="D493" s="35">
        <v>46038</v>
      </c>
      <c r="E493" s="32"/>
      <c r="F493" s="32"/>
      <c r="G493" s="31"/>
      <c r="H493" s="61"/>
    </row>
    <row r="494" spans="1:8" ht="15" hidden="1" thickBot="1" x14ac:dyDescent="0.25">
      <c r="A494" s="34" t="s">
        <v>814</v>
      </c>
      <c r="B494" s="30" t="s">
        <v>820</v>
      </c>
      <c r="C494" s="36" t="s">
        <v>824</v>
      </c>
      <c r="D494" s="35">
        <v>46038</v>
      </c>
      <c r="E494" s="32"/>
      <c r="F494" s="32"/>
      <c r="G494" s="31"/>
      <c r="H494" s="61"/>
    </row>
    <row r="495" spans="1:8" ht="15" hidden="1" thickBot="1" x14ac:dyDescent="0.25">
      <c r="A495" s="34" t="s">
        <v>814</v>
      </c>
      <c r="B495" s="30" t="s">
        <v>821</v>
      </c>
      <c r="C495" s="36" t="s">
        <v>824</v>
      </c>
      <c r="D495" s="35">
        <v>46038</v>
      </c>
      <c r="E495" s="32"/>
      <c r="F495" s="32"/>
      <c r="G495" s="31"/>
      <c r="H495" s="61"/>
    </row>
    <row r="496" spans="1:8" ht="15" hidden="1" thickBot="1" x14ac:dyDescent="0.25">
      <c r="A496" s="34" t="s">
        <v>814</v>
      </c>
      <c r="B496" s="30" t="s">
        <v>822</v>
      </c>
      <c r="C496" s="36" t="s">
        <v>824</v>
      </c>
      <c r="D496" s="35">
        <v>46038</v>
      </c>
      <c r="E496" s="32"/>
      <c r="F496" s="32"/>
      <c r="G496" s="31"/>
      <c r="H496" s="61"/>
    </row>
    <row r="497" spans="1:8" ht="15" hidden="1" thickBot="1" x14ac:dyDescent="0.25">
      <c r="A497" s="34" t="s">
        <v>814</v>
      </c>
      <c r="B497" s="30" t="s">
        <v>823</v>
      </c>
      <c r="C497" s="36" t="s">
        <v>824</v>
      </c>
      <c r="D497" s="35">
        <v>46038</v>
      </c>
      <c r="E497" s="32"/>
      <c r="F497" s="32"/>
      <c r="G497" s="31"/>
      <c r="H497" s="61"/>
    </row>
    <row r="498" spans="1:8" ht="15.75" hidden="1" thickBot="1" x14ac:dyDescent="0.25">
      <c r="A498" s="34" t="s">
        <v>741</v>
      </c>
      <c r="B498" s="36" t="s">
        <v>826</v>
      </c>
      <c r="C498" s="83" t="s">
        <v>455</v>
      </c>
      <c r="D498" s="35">
        <v>46085</v>
      </c>
      <c r="E498" s="9" t="s">
        <v>59</v>
      </c>
      <c r="F498" s="34"/>
      <c r="G498" s="35"/>
      <c r="H498" s="60"/>
    </row>
    <row r="499" spans="1:8" ht="43.5" hidden="1" thickBot="1" x14ac:dyDescent="0.25">
      <c r="A499" s="34" t="s">
        <v>18</v>
      </c>
      <c r="B499" s="36" t="s">
        <v>827</v>
      </c>
      <c r="C499" s="36" t="s">
        <v>824</v>
      </c>
      <c r="D499" s="35">
        <v>46042</v>
      </c>
      <c r="E499" s="34" t="s">
        <v>59</v>
      </c>
      <c r="F499" s="34"/>
      <c r="G499" s="35"/>
      <c r="H499" s="60" t="s">
        <v>871</v>
      </c>
    </row>
    <row r="500" spans="1:8" ht="43.5" hidden="1" thickBot="1" x14ac:dyDescent="0.25">
      <c r="A500" s="34" t="s">
        <v>18</v>
      </c>
      <c r="B500" s="36" t="s">
        <v>827</v>
      </c>
      <c r="C500" s="36" t="s">
        <v>828</v>
      </c>
      <c r="D500" s="35">
        <v>46042</v>
      </c>
      <c r="E500" s="34" t="s">
        <v>109</v>
      </c>
      <c r="F500" s="34"/>
      <c r="G500" s="35"/>
      <c r="H500" s="60" t="s">
        <v>872</v>
      </c>
    </row>
    <row r="501" spans="1:8" ht="228.75" hidden="1" thickBot="1" x14ac:dyDescent="0.25">
      <c r="A501" s="32" t="s">
        <v>67</v>
      </c>
      <c r="B501" s="30" t="s">
        <v>830</v>
      </c>
      <c r="C501" s="30" t="s">
        <v>791</v>
      </c>
      <c r="D501" s="31">
        <v>46035</v>
      </c>
      <c r="E501" s="32" t="s">
        <v>59</v>
      </c>
      <c r="F501" s="32"/>
      <c r="G501" s="31"/>
      <c r="H501" s="61"/>
    </row>
    <row r="502" spans="1:8" ht="257.25" hidden="1" thickBot="1" x14ac:dyDescent="0.25">
      <c r="A502" s="34" t="s">
        <v>67</v>
      </c>
      <c r="B502" s="36" t="s">
        <v>831</v>
      </c>
      <c r="C502" s="36" t="s">
        <v>791</v>
      </c>
      <c r="D502" s="35">
        <v>46044</v>
      </c>
      <c r="E502" s="34" t="s">
        <v>59</v>
      </c>
      <c r="F502" s="34"/>
      <c r="G502" s="35"/>
      <c r="H502" s="60"/>
    </row>
    <row r="503" spans="1:8" ht="15" hidden="1" thickBot="1" x14ac:dyDescent="0.25">
      <c r="A503" s="34" t="s">
        <v>67</v>
      </c>
      <c r="B503" s="36" t="s">
        <v>832</v>
      </c>
      <c r="C503" s="36" t="s">
        <v>791</v>
      </c>
      <c r="D503" s="35">
        <v>46026</v>
      </c>
      <c r="E503" s="34" t="s">
        <v>59</v>
      </c>
      <c r="F503" s="34"/>
      <c r="G503" s="35"/>
      <c r="H503" s="60"/>
    </row>
    <row r="504" spans="1:8" ht="15" hidden="1" thickBot="1" x14ac:dyDescent="0.25">
      <c r="A504" s="34" t="s">
        <v>67</v>
      </c>
      <c r="B504" s="36" t="s">
        <v>833</v>
      </c>
      <c r="C504" s="36" t="s">
        <v>791</v>
      </c>
      <c r="D504" s="35">
        <v>46026</v>
      </c>
      <c r="E504" s="34" t="s">
        <v>59</v>
      </c>
      <c r="F504" s="32"/>
      <c r="G504" s="31"/>
      <c r="H504" s="61"/>
    </row>
    <row r="505" spans="1:8" ht="15" hidden="1" thickBot="1" x14ac:dyDescent="0.25">
      <c r="A505" s="34" t="s">
        <v>132</v>
      </c>
      <c r="B505" s="36" t="s">
        <v>834</v>
      </c>
      <c r="C505" s="36" t="s">
        <v>266</v>
      </c>
      <c r="D505" s="35">
        <v>46089</v>
      </c>
      <c r="E505" s="34" t="s">
        <v>59</v>
      </c>
      <c r="F505" s="34"/>
      <c r="G505" s="35"/>
      <c r="H505" s="60"/>
    </row>
    <row r="506" spans="1:8" ht="15" hidden="1" thickBot="1" x14ac:dyDescent="0.25">
      <c r="A506" s="34" t="s">
        <v>132</v>
      </c>
      <c r="B506" s="36" t="s">
        <v>835</v>
      </c>
      <c r="C506" s="36" t="s">
        <v>266</v>
      </c>
      <c r="D506" s="35">
        <v>46096</v>
      </c>
      <c r="E506" s="34" t="s">
        <v>59</v>
      </c>
      <c r="F506" s="34"/>
      <c r="G506" s="35"/>
      <c r="H506" s="60"/>
    </row>
    <row r="507" spans="1:8" ht="214.5" hidden="1" thickBot="1" x14ac:dyDescent="0.25">
      <c r="A507" s="34" t="s">
        <v>814</v>
      </c>
      <c r="B507" s="36" t="s">
        <v>836</v>
      </c>
      <c r="C507" s="36" t="s">
        <v>791</v>
      </c>
      <c r="D507" s="35">
        <v>46059</v>
      </c>
      <c r="E507" s="34" t="s">
        <v>59</v>
      </c>
      <c r="F507" s="34"/>
      <c r="G507" s="35"/>
      <c r="H507" s="60"/>
    </row>
    <row r="508" spans="1:8" ht="15" hidden="1" thickBot="1" x14ac:dyDescent="0.25">
      <c r="A508" s="34" t="s">
        <v>700</v>
      </c>
      <c r="B508" s="36" t="s">
        <v>837</v>
      </c>
      <c r="C508" s="36" t="s">
        <v>838</v>
      </c>
      <c r="D508" s="35">
        <v>46096</v>
      </c>
      <c r="E508" s="34" t="s">
        <v>59</v>
      </c>
      <c r="F508" s="34">
        <v>588</v>
      </c>
      <c r="G508" s="35">
        <v>46106</v>
      </c>
      <c r="H508" s="60"/>
    </row>
    <row r="509" spans="1:8" ht="100.5" hidden="1" thickBot="1" x14ac:dyDescent="0.25">
      <c r="A509" s="34" t="s">
        <v>11</v>
      </c>
      <c r="B509" s="36" t="s">
        <v>839</v>
      </c>
      <c r="C509" s="36" t="s">
        <v>840</v>
      </c>
      <c r="D509" s="35">
        <v>46098</v>
      </c>
      <c r="E509" s="34" t="s">
        <v>59</v>
      </c>
      <c r="F509" s="34">
        <v>20</v>
      </c>
      <c r="G509" s="35">
        <v>46105</v>
      </c>
      <c r="H509" s="60"/>
    </row>
    <row r="510" spans="1:8" ht="15" thickBot="1" x14ac:dyDescent="0.25">
      <c r="A510" s="34" t="s">
        <v>6</v>
      </c>
      <c r="B510" s="36" t="s">
        <v>841</v>
      </c>
      <c r="C510" s="36" t="s">
        <v>8</v>
      </c>
      <c r="D510" s="35">
        <v>46106</v>
      </c>
      <c r="E510" s="34" t="s">
        <v>109</v>
      </c>
      <c r="F510" s="34">
        <v>1.2</v>
      </c>
      <c r="G510" s="35">
        <v>46107</v>
      </c>
      <c r="H510" s="60"/>
    </row>
    <row r="511" spans="1:8" ht="15.75" thickBot="1" x14ac:dyDescent="0.25">
      <c r="A511" s="34" t="s">
        <v>6</v>
      </c>
      <c r="B511" s="36" t="s">
        <v>689</v>
      </c>
      <c r="C511" s="36" t="s">
        <v>624</v>
      </c>
      <c r="D511" s="35">
        <v>46110</v>
      </c>
      <c r="E511" s="12" t="s">
        <v>72</v>
      </c>
      <c r="F511" s="34">
        <v>0.3</v>
      </c>
      <c r="G511" s="35">
        <v>46114</v>
      </c>
      <c r="H511" s="60"/>
    </row>
    <row r="512" spans="1:8" ht="15" hidden="1" thickBot="1" x14ac:dyDescent="0.25">
      <c r="A512" s="34" t="s">
        <v>132</v>
      </c>
      <c r="B512" s="36" t="s">
        <v>842</v>
      </c>
      <c r="C512" s="36" t="s">
        <v>843</v>
      </c>
      <c r="D512" s="35">
        <v>46110</v>
      </c>
      <c r="E512" s="34"/>
      <c r="F512" s="34"/>
      <c r="G512" s="35"/>
      <c r="H512" s="60"/>
    </row>
    <row r="513" spans="1:8" ht="15.75" thickBot="1" x14ac:dyDescent="0.25">
      <c r="A513" s="34" t="s">
        <v>6</v>
      </c>
      <c r="B513" s="36" t="s">
        <v>844</v>
      </c>
      <c r="C513" s="36" t="s">
        <v>796</v>
      </c>
      <c r="D513" s="35">
        <v>46111</v>
      </c>
      <c r="E513" s="12" t="s">
        <v>72</v>
      </c>
      <c r="F513" s="34" t="s">
        <v>486</v>
      </c>
      <c r="G513" s="35">
        <v>46111</v>
      </c>
      <c r="H513" s="60" t="s">
        <v>898</v>
      </c>
    </row>
    <row r="514" spans="1:8" ht="72" thickBot="1" x14ac:dyDescent="0.25">
      <c r="A514" s="34" t="s">
        <v>6</v>
      </c>
      <c r="B514" s="36" t="s">
        <v>845</v>
      </c>
      <c r="C514" s="14" t="s">
        <v>58</v>
      </c>
      <c r="D514" s="35">
        <v>46111</v>
      </c>
      <c r="E514" s="12" t="s">
        <v>72</v>
      </c>
      <c r="F514" s="34">
        <v>0.01</v>
      </c>
      <c r="G514" s="35">
        <v>46111</v>
      </c>
      <c r="H514" s="60"/>
    </row>
    <row r="515" spans="1:8" ht="86.25" hidden="1" thickBot="1" x14ac:dyDescent="0.25">
      <c r="A515" s="34" t="s">
        <v>11</v>
      </c>
      <c r="B515" s="36" t="s">
        <v>846</v>
      </c>
      <c r="C515" s="36" t="s">
        <v>847</v>
      </c>
      <c r="D515" s="35">
        <v>46112</v>
      </c>
      <c r="E515" s="34" t="s">
        <v>59</v>
      </c>
      <c r="F515" s="34"/>
      <c r="G515" s="35"/>
      <c r="H515" s="60" t="s">
        <v>848</v>
      </c>
    </row>
    <row r="516" spans="1:8" ht="214.5" hidden="1" thickBot="1" x14ac:dyDescent="0.25">
      <c r="A516" s="34" t="s">
        <v>741</v>
      </c>
      <c r="B516" s="36" t="s">
        <v>849</v>
      </c>
      <c r="C516" s="36" t="s">
        <v>850</v>
      </c>
      <c r="D516" s="35">
        <v>46117</v>
      </c>
      <c r="E516" s="34" t="s">
        <v>109</v>
      </c>
      <c r="F516" s="34"/>
      <c r="G516" s="35"/>
      <c r="H516" s="60"/>
    </row>
    <row r="517" spans="1:8" ht="399.75" hidden="1" thickBot="1" x14ac:dyDescent="0.25">
      <c r="A517" s="34" t="s">
        <v>11</v>
      </c>
      <c r="B517" s="36" t="s">
        <v>851</v>
      </c>
      <c r="C517" s="36" t="s">
        <v>852</v>
      </c>
      <c r="D517" s="35">
        <v>46117</v>
      </c>
      <c r="E517" s="34" t="s">
        <v>59</v>
      </c>
      <c r="F517" s="34"/>
      <c r="G517" s="35"/>
      <c r="H517" s="60"/>
    </row>
    <row r="518" spans="1:8" ht="15" thickBot="1" x14ac:dyDescent="0.25">
      <c r="A518" s="34" t="s">
        <v>6</v>
      </c>
      <c r="B518" s="36" t="s">
        <v>853</v>
      </c>
      <c r="C518" s="36" t="s">
        <v>58</v>
      </c>
      <c r="D518" s="35">
        <v>46117</v>
      </c>
      <c r="E518" s="34" t="s">
        <v>72</v>
      </c>
      <c r="F518" s="34">
        <v>0.01</v>
      </c>
      <c r="G518" s="35">
        <v>46117</v>
      </c>
      <c r="H518" s="60" t="s">
        <v>703</v>
      </c>
    </row>
    <row r="519" spans="1:8" ht="15" hidden="1" thickBot="1" x14ac:dyDescent="0.25">
      <c r="A519" s="34" t="s">
        <v>723</v>
      </c>
      <c r="B519" s="36" t="s">
        <v>854</v>
      </c>
      <c r="C519" s="36" t="s">
        <v>855</v>
      </c>
      <c r="D519" s="35">
        <v>46125</v>
      </c>
      <c r="E519" s="34" t="s">
        <v>72</v>
      </c>
      <c r="F519" s="34">
        <v>155</v>
      </c>
      <c r="G519" s="35">
        <v>46095</v>
      </c>
      <c r="H519" s="60"/>
    </row>
    <row r="520" spans="1:8" ht="171.75" hidden="1" thickBot="1" x14ac:dyDescent="0.25">
      <c r="A520" s="34" t="s">
        <v>11</v>
      </c>
      <c r="B520" s="36" t="s">
        <v>856</v>
      </c>
      <c r="C520" s="36" t="s">
        <v>175</v>
      </c>
      <c r="D520" s="35">
        <v>46126</v>
      </c>
      <c r="E520" s="34" t="s">
        <v>59</v>
      </c>
      <c r="F520" s="34">
        <v>0.2</v>
      </c>
      <c r="G520" s="35">
        <v>46128</v>
      </c>
      <c r="H520" s="60"/>
    </row>
    <row r="521" spans="1:8" ht="15" hidden="1" thickBot="1" x14ac:dyDescent="0.25">
      <c r="A521" s="34" t="s">
        <v>11</v>
      </c>
      <c r="B521" s="36" t="s">
        <v>857</v>
      </c>
      <c r="C521" s="36" t="s">
        <v>46</v>
      </c>
      <c r="D521" s="35">
        <v>46126</v>
      </c>
      <c r="E521" s="34" t="s">
        <v>59</v>
      </c>
      <c r="F521" s="34">
        <v>1000</v>
      </c>
      <c r="G521" s="35">
        <v>46132</v>
      </c>
      <c r="H521" s="60"/>
    </row>
    <row r="522" spans="1:8" ht="15" hidden="1" thickBot="1" x14ac:dyDescent="0.25">
      <c r="A522" s="34" t="s">
        <v>67</v>
      </c>
      <c r="B522" s="36" t="s">
        <v>858</v>
      </c>
      <c r="C522" s="36" t="s">
        <v>859</v>
      </c>
      <c r="D522" s="35">
        <v>46119</v>
      </c>
      <c r="E522" s="34" t="s">
        <v>59</v>
      </c>
      <c r="F522" s="34"/>
      <c r="G522" s="35"/>
      <c r="H522" s="60"/>
    </row>
    <row r="523" spans="1:8" ht="200.25" hidden="1" thickBot="1" x14ac:dyDescent="0.25">
      <c r="A523" s="34" t="s">
        <v>67</v>
      </c>
      <c r="B523" s="36" t="s">
        <v>860</v>
      </c>
      <c r="C523" s="36" t="s">
        <v>791</v>
      </c>
      <c r="D523" s="35">
        <v>46125</v>
      </c>
      <c r="E523" s="34" t="s">
        <v>59</v>
      </c>
      <c r="F523" s="34"/>
      <c r="G523" s="35"/>
      <c r="H523" s="60"/>
    </row>
    <row r="524" spans="1:8" ht="15" hidden="1" thickBot="1" x14ac:dyDescent="0.25">
      <c r="A524" s="34" t="s">
        <v>741</v>
      </c>
      <c r="B524" s="36" t="s">
        <v>419</v>
      </c>
      <c r="C524" s="36" t="s">
        <v>861</v>
      </c>
      <c r="D524" s="35">
        <v>46132</v>
      </c>
      <c r="E524" s="32" t="s">
        <v>109</v>
      </c>
      <c r="F524" s="34">
        <v>2</v>
      </c>
      <c r="G524" s="35">
        <v>46133</v>
      </c>
      <c r="H524" s="60"/>
    </row>
    <row r="525" spans="1:8" ht="15" hidden="1" thickBot="1" x14ac:dyDescent="0.25">
      <c r="A525" s="34" t="s">
        <v>132</v>
      </c>
      <c r="B525" s="36" t="s">
        <v>789</v>
      </c>
      <c r="C525" s="106" t="s">
        <v>862</v>
      </c>
      <c r="D525" s="35">
        <v>46134</v>
      </c>
      <c r="E525" s="34" t="s">
        <v>59</v>
      </c>
      <c r="F525" s="34"/>
      <c r="G525" s="35"/>
      <c r="H525" s="60"/>
    </row>
    <row r="526" spans="1:8" ht="15" thickBot="1" x14ac:dyDescent="0.25">
      <c r="A526" s="34" t="s">
        <v>6</v>
      </c>
      <c r="B526" s="36" t="s">
        <v>863</v>
      </c>
      <c r="C526" s="36" t="s">
        <v>865</v>
      </c>
      <c r="D526" s="35">
        <v>46132</v>
      </c>
      <c r="E526" s="34" t="s">
        <v>59</v>
      </c>
      <c r="F526" s="34">
        <v>200</v>
      </c>
      <c r="G526" s="35">
        <v>46139</v>
      </c>
      <c r="H526" s="60" t="s">
        <v>6</v>
      </c>
    </row>
    <row r="527" spans="1:8" ht="15" thickBot="1" x14ac:dyDescent="0.25">
      <c r="A527" s="34" t="s">
        <v>6</v>
      </c>
      <c r="B527" s="36" t="s">
        <v>864</v>
      </c>
      <c r="C527" s="36" t="s">
        <v>54</v>
      </c>
      <c r="D527" s="35">
        <v>46134</v>
      </c>
      <c r="E527" s="34" t="s">
        <v>895</v>
      </c>
      <c r="F527" s="34" t="s">
        <v>896</v>
      </c>
      <c r="G527" s="35" t="s">
        <v>897</v>
      </c>
      <c r="H527" s="60" t="s">
        <v>873</v>
      </c>
    </row>
    <row r="528" spans="1:8" ht="15" hidden="1" thickBot="1" x14ac:dyDescent="0.25">
      <c r="A528" s="34" t="s">
        <v>132</v>
      </c>
      <c r="B528" s="36" t="s">
        <v>866</v>
      </c>
      <c r="C528" s="36" t="s">
        <v>867</v>
      </c>
      <c r="D528" s="35">
        <v>46134</v>
      </c>
      <c r="E528" s="34" t="s">
        <v>59</v>
      </c>
      <c r="F528" s="34">
        <v>193</v>
      </c>
      <c r="G528" s="35">
        <v>46138</v>
      </c>
      <c r="H528" s="60"/>
    </row>
    <row r="529" spans="1:8" ht="15" hidden="1" thickBot="1" x14ac:dyDescent="0.25">
      <c r="A529" s="34" t="s">
        <v>730</v>
      </c>
      <c r="B529" s="36" t="s">
        <v>868</v>
      </c>
      <c r="C529" s="36" t="s">
        <v>266</v>
      </c>
      <c r="D529" s="35">
        <v>46138</v>
      </c>
      <c r="E529" s="34" t="s">
        <v>72</v>
      </c>
      <c r="F529" s="34">
        <v>84</v>
      </c>
      <c r="G529" s="35">
        <v>46138</v>
      </c>
      <c r="H529" s="60" t="s">
        <v>882</v>
      </c>
    </row>
    <row r="530" spans="1:8" ht="15" hidden="1" thickBot="1" x14ac:dyDescent="0.25">
      <c r="A530" s="34" t="s">
        <v>701</v>
      </c>
      <c r="B530" s="36" t="s">
        <v>869</v>
      </c>
      <c r="C530" s="36" t="s">
        <v>485</v>
      </c>
      <c r="D530" s="35">
        <v>46134</v>
      </c>
      <c r="E530" s="34" t="s">
        <v>72</v>
      </c>
      <c r="F530" s="34" t="s">
        <v>486</v>
      </c>
      <c r="G530" s="35">
        <v>46134</v>
      </c>
      <c r="H530" s="60" t="s">
        <v>62</v>
      </c>
    </row>
    <row r="531" spans="1:8" ht="15" hidden="1" thickBot="1" x14ac:dyDescent="0.25">
      <c r="A531" s="34" t="s">
        <v>741</v>
      </c>
      <c r="B531" s="36" t="s">
        <v>876</v>
      </c>
      <c r="C531" s="36" t="s">
        <v>877</v>
      </c>
      <c r="D531" s="35">
        <v>46138</v>
      </c>
      <c r="E531" s="32" t="s">
        <v>109</v>
      </c>
      <c r="F531" s="34">
        <v>1</v>
      </c>
      <c r="G531" s="35">
        <v>46140</v>
      </c>
      <c r="H531" s="60" t="s">
        <v>878</v>
      </c>
    </row>
    <row r="532" spans="1:8" ht="271.5" hidden="1" thickBot="1" x14ac:dyDescent="0.25">
      <c r="A532" s="34" t="s">
        <v>11</v>
      </c>
      <c r="B532" s="36" t="s">
        <v>879</v>
      </c>
      <c r="C532" s="14" t="s">
        <v>880</v>
      </c>
      <c r="D532" s="35">
        <v>46140</v>
      </c>
      <c r="E532" s="34"/>
      <c r="F532" s="34"/>
      <c r="G532" s="35"/>
      <c r="H532" s="60"/>
    </row>
    <row r="533" spans="1:8" ht="15" hidden="1" thickBot="1" x14ac:dyDescent="0.25">
      <c r="A533" s="34" t="s">
        <v>132</v>
      </c>
      <c r="B533" s="36" t="s">
        <v>881</v>
      </c>
      <c r="C533" s="36" t="s">
        <v>334</v>
      </c>
      <c r="D533" s="35">
        <v>46146</v>
      </c>
      <c r="E533" s="34" t="s">
        <v>59</v>
      </c>
      <c r="F533" s="34">
        <v>40</v>
      </c>
      <c r="G533" s="35">
        <v>46148</v>
      </c>
      <c r="H533" s="60"/>
    </row>
    <row r="534" spans="1:8" ht="15" thickBot="1" x14ac:dyDescent="0.25">
      <c r="A534" s="34" t="s">
        <v>6</v>
      </c>
      <c r="B534" s="36" t="s">
        <v>883</v>
      </c>
      <c r="C534" s="36" t="s">
        <v>8</v>
      </c>
      <c r="D534" s="35">
        <v>46149</v>
      </c>
      <c r="E534" s="34" t="s">
        <v>109</v>
      </c>
      <c r="F534" s="34">
        <v>1</v>
      </c>
      <c r="G534" s="35">
        <v>46149</v>
      </c>
      <c r="H534" s="60"/>
    </row>
    <row r="535" spans="1:8" ht="29.25" thickBot="1" x14ac:dyDescent="0.25">
      <c r="A535" s="34" t="s">
        <v>6</v>
      </c>
      <c r="B535" s="36" t="s">
        <v>886</v>
      </c>
      <c r="C535" s="36" t="s">
        <v>885</v>
      </c>
      <c r="D535" s="35">
        <v>46152</v>
      </c>
      <c r="E535" s="34" t="s">
        <v>59</v>
      </c>
      <c r="F535" s="34" t="s">
        <v>486</v>
      </c>
      <c r="G535" s="35">
        <v>46154</v>
      </c>
      <c r="H535" s="60" t="s">
        <v>899</v>
      </c>
    </row>
    <row r="536" spans="1:8" ht="15" hidden="1" thickBot="1" x14ac:dyDescent="0.25">
      <c r="A536" s="34" t="s">
        <v>701</v>
      </c>
      <c r="B536" s="36" t="s">
        <v>800</v>
      </c>
      <c r="C536" s="36" t="s">
        <v>887</v>
      </c>
      <c r="D536" s="35">
        <v>46156</v>
      </c>
      <c r="E536" s="34" t="s">
        <v>109</v>
      </c>
      <c r="F536" s="34">
        <v>0.54</v>
      </c>
      <c r="G536" s="35">
        <v>46129</v>
      </c>
      <c r="H536" s="60"/>
    </row>
    <row r="537" spans="1:8" ht="15" thickBot="1" x14ac:dyDescent="0.25">
      <c r="A537" s="34" t="s">
        <v>6</v>
      </c>
      <c r="B537" s="36" t="s">
        <v>888</v>
      </c>
      <c r="C537" s="36" t="s">
        <v>889</v>
      </c>
      <c r="D537" s="35">
        <v>46153</v>
      </c>
      <c r="E537" s="34" t="s">
        <v>109</v>
      </c>
      <c r="F537" s="34">
        <v>6</v>
      </c>
      <c r="G537" s="35">
        <v>46161</v>
      </c>
      <c r="H537" s="60" t="s">
        <v>894</v>
      </c>
    </row>
    <row r="538" spans="1:8" ht="15" thickBot="1" x14ac:dyDescent="0.25">
      <c r="A538" s="34" t="s">
        <v>6</v>
      </c>
      <c r="B538" s="36" t="s">
        <v>890</v>
      </c>
      <c r="C538" s="36" t="s">
        <v>8</v>
      </c>
      <c r="D538" s="35">
        <v>46161</v>
      </c>
      <c r="E538" s="34" t="s">
        <v>109</v>
      </c>
      <c r="F538" s="35">
        <v>1</v>
      </c>
      <c r="G538" s="35">
        <v>46162</v>
      </c>
      <c r="H538" s="60" t="s">
        <v>894</v>
      </c>
    </row>
    <row r="539" spans="1:8" ht="15" thickBot="1" x14ac:dyDescent="0.25">
      <c r="A539" s="34" t="s">
        <v>6</v>
      </c>
      <c r="B539" s="36" t="s">
        <v>240</v>
      </c>
      <c r="C539" s="36" t="s">
        <v>891</v>
      </c>
      <c r="D539" s="35">
        <v>46161</v>
      </c>
      <c r="E539" s="34" t="s">
        <v>72</v>
      </c>
      <c r="F539" s="34">
        <v>4</v>
      </c>
      <c r="G539" s="35">
        <v>46163</v>
      </c>
      <c r="H539" s="60"/>
    </row>
    <row r="540" spans="1:8" ht="15" thickBot="1" x14ac:dyDescent="0.25">
      <c r="A540" s="34" t="s">
        <v>6</v>
      </c>
      <c r="B540" s="36" t="s">
        <v>892</v>
      </c>
      <c r="C540" s="36" t="s">
        <v>893</v>
      </c>
      <c r="D540" s="35">
        <v>46161</v>
      </c>
      <c r="E540" s="34" t="s">
        <v>109</v>
      </c>
      <c r="F540" s="34">
        <v>0.6</v>
      </c>
      <c r="G540" s="35">
        <v>46166</v>
      </c>
      <c r="H540" s="60" t="s">
        <v>894</v>
      </c>
    </row>
    <row r="541" spans="1:8" ht="15" hidden="1" thickBot="1" x14ac:dyDescent="0.25">
      <c r="A541" s="34" t="s">
        <v>11</v>
      </c>
      <c r="B541" s="36" t="s">
        <v>900</v>
      </c>
      <c r="C541" s="36" t="s">
        <v>46</v>
      </c>
      <c r="D541" s="35">
        <v>46173</v>
      </c>
      <c r="E541" s="34" t="s">
        <v>59</v>
      </c>
      <c r="F541" s="34"/>
      <c r="G541" s="35"/>
      <c r="H541" s="60"/>
    </row>
    <row r="542" spans="1:8" ht="15" hidden="1" thickBot="1" x14ac:dyDescent="0.25">
      <c r="A542" s="34" t="s">
        <v>741</v>
      </c>
      <c r="B542" s="36" t="s">
        <v>901</v>
      </c>
      <c r="C542" s="36" t="s">
        <v>902</v>
      </c>
      <c r="D542" s="35">
        <v>46176</v>
      </c>
      <c r="E542" s="34" t="s">
        <v>59</v>
      </c>
      <c r="F542" s="34"/>
      <c r="G542" s="35"/>
      <c r="H542" s="60"/>
    </row>
    <row r="543" spans="1:8" ht="15" hidden="1" thickBot="1" x14ac:dyDescent="0.25">
      <c r="A543" s="34" t="s">
        <v>11</v>
      </c>
      <c r="B543" s="36" t="s">
        <v>903</v>
      </c>
      <c r="C543" s="36" t="s">
        <v>903</v>
      </c>
      <c r="D543" s="35">
        <v>46175</v>
      </c>
      <c r="E543" s="34" t="s">
        <v>59</v>
      </c>
      <c r="F543" s="34"/>
      <c r="G543" s="35"/>
      <c r="H543" s="60"/>
    </row>
    <row r="544" spans="1:8" ht="15" hidden="1" thickBot="1" x14ac:dyDescent="0.25">
      <c r="A544" s="34" t="s">
        <v>701</v>
      </c>
      <c r="B544" s="36" t="s">
        <v>904</v>
      </c>
      <c r="C544" s="36" t="s">
        <v>887</v>
      </c>
      <c r="D544" s="35">
        <v>46182</v>
      </c>
      <c r="E544" s="34" t="s">
        <v>72</v>
      </c>
      <c r="F544" s="34">
        <v>0.72</v>
      </c>
      <c r="G544" s="35">
        <v>46183</v>
      </c>
      <c r="H544" s="60"/>
    </row>
    <row r="545" spans="1:8" ht="15" thickBot="1" x14ac:dyDescent="0.25">
      <c r="A545" s="34" t="s">
        <v>6</v>
      </c>
      <c r="B545" s="36" t="s">
        <v>905</v>
      </c>
      <c r="C545" s="36" t="s">
        <v>58</v>
      </c>
      <c r="D545" s="35">
        <v>46180</v>
      </c>
      <c r="E545" s="34" t="s">
        <v>72</v>
      </c>
      <c r="F545" s="34">
        <v>0.01</v>
      </c>
      <c r="G545" s="35">
        <v>46181</v>
      </c>
      <c r="H545" s="60"/>
    </row>
    <row r="546" spans="1:8" hidden="1" x14ac:dyDescent="0.2">
      <c r="A546" s="34" t="s">
        <v>132</v>
      </c>
      <c r="B546" s="36" t="s">
        <v>906</v>
      </c>
      <c r="C546" s="36" t="s">
        <v>907</v>
      </c>
      <c r="D546" s="35">
        <v>46183</v>
      </c>
      <c r="E546" s="34" t="s">
        <v>59</v>
      </c>
      <c r="F546" s="34">
        <v>211</v>
      </c>
      <c r="G546" s="35">
        <v>46188</v>
      </c>
      <c r="H546" s="60"/>
    </row>
    <row r="547" spans="1:8" hidden="1" x14ac:dyDescent="0.2">
      <c r="A547" s="34" t="s">
        <v>67</v>
      </c>
      <c r="B547" s="36" t="s">
        <v>908</v>
      </c>
      <c r="C547" s="36" t="s">
        <v>728</v>
      </c>
      <c r="D547" s="35">
        <v>46182</v>
      </c>
      <c r="E547" s="34" t="s">
        <v>59</v>
      </c>
      <c r="F547" s="34" t="s">
        <v>909</v>
      </c>
      <c r="G547" s="35">
        <v>46183</v>
      </c>
      <c r="H547" s="60" t="s">
        <v>910</v>
      </c>
    </row>
    <row r="548" spans="1:8" hidden="1" x14ac:dyDescent="0.2">
      <c r="A548" s="34" t="s">
        <v>67</v>
      </c>
      <c r="B548" s="36" t="s">
        <v>563</v>
      </c>
      <c r="C548" s="36" t="s">
        <v>911</v>
      </c>
      <c r="D548" s="35">
        <v>46201</v>
      </c>
      <c r="E548" s="34" t="s">
        <v>67</v>
      </c>
      <c r="F548" s="34">
        <v>15</v>
      </c>
      <c r="G548" s="35">
        <v>46202</v>
      </c>
      <c r="H548" s="60" t="s">
        <v>912</v>
      </c>
    </row>
    <row r="549" spans="1:8" hidden="1" x14ac:dyDescent="0.2">
      <c r="A549" s="34" t="s">
        <v>700</v>
      </c>
      <c r="B549" s="36" t="s">
        <v>913</v>
      </c>
      <c r="C549" s="36" t="s">
        <v>914</v>
      </c>
      <c r="D549" s="35">
        <v>46195</v>
      </c>
      <c r="E549" s="34" t="s">
        <v>72</v>
      </c>
      <c r="F549" s="34"/>
      <c r="G549" s="35"/>
      <c r="H549" s="60"/>
    </row>
    <row r="550" spans="1:8" ht="15" thickBot="1" x14ac:dyDescent="0.25">
      <c r="A550" s="34" t="s">
        <v>6</v>
      </c>
      <c r="B550" s="36" t="s">
        <v>348</v>
      </c>
      <c r="C550" s="36" t="s">
        <v>266</v>
      </c>
      <c r="D550" s="35">
        <v>46202</v>
      </c>
      <c r="E550" s="34" t="s">
        <v>109</v>
      </c>
      <c r="F550" s="34">
        <v>25</v>
      </c>
      <c r="G550" s="35">
        <v>46204</v>
      </c>
      <c r="H550" s="60"/>
    </row>
    <row r="551" spans="1:8" x14ac:dyDescent="0.2">
      <c r="A551" s="34" t="s">
        <v>6</v>
      </c>
      <c r="B551" s="36" t="s">
        <v>915</v>
      </c>
      <c r="C551" s="36" t="s">
        <v>916</v>
      </c>
      <c r="D551" s="35">
        <v>46202</v>
      </c>
      <c r="E551" s="34" t="s">
        <v>109</v>
      </c>
      <c r="F551" s="34"/>
      <c r="G551" s="35"/>
      <c r="H551" s="60"/>
    </row>
  </sheetData>
  <pageMargins left="0.70000000000000007" right="0.70000000000000007" top="0.75" bottom="0.75" header="0.30000000000000004" footer="0.30000000000000004"/>
  <pageSetup paperSize="9" fitToWidth="0" fitToHeight="0" orientation="portrait" horizontalDpi="4294967292" verticalDpi="4294967293" r:id="rId1"/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Suivi_PACKAGE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Ourabah Mohamed</dc:creator>
  <cp:lastModifiedBy>Djamel</cp:lastModifiedBy>
  <cp:lastPrinted>2024-09-05T08:16:09Z</cp:lastPrinted>
  <dcterms:created xsi:type="dcterms:W3CDTF">2022-10-30T13:41:54Z</dcterms:created>
  <dcterms:modified xsi:type="dcterms:W3CDTF">2026-07-01T07:03:08Z</dcterms:modified>
</cp:coreProperties>
</file>